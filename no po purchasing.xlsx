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PIC\WHC CALCULATION 2024\WHC 2021\r\"/>
    </mc:Choice>
  </mc:AlternateContent>
  <xr:revisionPtr revIDLastSave="0" documentId="8_{D3480E3D-D7C2-4780-B2F6-0E664B465070}" xr6:coauthVersionLast="47" xr6:coauthVersionMax="47" xr10:uidLastSave="{00000000-0000-0000-0000-000000000000}"/>
  <bookViews>
    <workbookView xWindow="-120" yWindow="-120" windowWidth="21840" windowHeight="13020" xr2:uid="{0FAA3B5D-2679-4725-8AB1-F2EFA339CDD4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Sheet1!$A$1:$K$187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76" i="1"/>
  <c r="E77" i="1"/>
  <c r="E78" i="1"/>
  <c r="E5" i="1"/>
  <c r="E79" i="1"/>
  <c r="E6" i="1"/>
  <c r="E80" i="1"/>
  <c r="E81" i="1"/>
  <c r="E82" i="1"/>
  <c r="E83" i="1"/>
  <c r="E84" i="1"/>
  <c r="E85" i="1"/>
  <c r="E161" i="1"/>
  <c r="E86" i="1"/>
  <c r="E7" i="1"/>
  <c r="E8" i="1"/>
  <c r="E9" i="1"/>
  <c r="E87" i="1"/>
  <c r="E88" i="1"/>
  <c r="E10" i="1"/>
  <c r="E89" i="1"/>
  <c r="E162" i="1"/>
  <c r="E11" i="1"/>
  <c r="E90" i="1"/>
  <c r="E163" i="1"/>
  <c r="E12" i="1"/>
  <c r="E91" i="1"/>
  <c r="E92" i="1"/>
  <c r="E164" i="1"/>
  <c r="E165" i="1"/>
  <c r="E93" i="1"/>
  <c r="E166" i="1"/>
  <c r="E167" i="1"/>
  <c r="E94" i="1"/>
  <c r="E168" i="1"/>
  <c r="E169" i="1"/>
  <c r="E95" i="1"/>
  <c r="E170" i="1"/>
  <c r="E171" i="1"/>
  <c r="E96" i="1"/>
  <c r="E97" i="1"/>
  <c r="E98" i="1"/>
  <c r="E99" i="1"/>
  <c r="E100" i="1"/>
  <c r="E101" i="1"/>
  <c r="E172" i="1"/>
  <c r="E173" i="1"/>
  <c r="E102" i="1"/>
  <c r="E13" i="1"/>
  <c r="E103" i="1"/>
  <c r="E104" i="1"/>
  <c r="E105" i="1"/>
  <c r="E14" i="1"/>
  <c r="E15" i="1"/>
  <c r="E16" i="1"/>
  <c r="E106" i="1"/>
  <c r="E107" i="1"/>
  <c r="E108" i="1"/>
  <c r="E109" i="1"/>
  <c r="E17" i="1"/>
  <c r="E110" i="1"/>
  <c r="E174" i="1"/>
  <c r="E111" i="1"/>
  <c r="E112" i="1"/>
  <c r="E18" i="1"/>
  <c r="E113" i="1"/>
  <c r="E114" i="1"/>
  <c r="E19" i="1"/>
  <c r="E20" i="1"/>
  <c r="E21" i="1"/>
  <c r="E115" i="1"/>
  <c r="E116" i="1"/>
  <c r="E117" i="1"/>
  <c r="E22" i="1"/>
  <c r="E118" i="1"/>
  <c r="E23" i="1"/>
  <c r="E119" i="1"/>
  <c r="E120" i="1"/>
  <c r="E24" i="1"/>
  <c r="E25" i="1"/>
  <c r="E26" i="1"/>
  <c r="E27" i="1"/>
  <c r="E121" i="1"/>
  <c r="E28" i="1"/>
  <c r="E175" i="1"/>
  <c r="E29" i="1"/>
  <c r="E30" i="1"/>
  <c r="E31" i="1"/>
  <c r="E176" i="1"/>
  <c r="E32" i="1"/>
  <c r="E122" i="1"/>
  <c r="E33" i="1"/>
  <c r="E34" i="1"/>
  <c r="E123" i="1"/>
  <c r="E35" i="1"/>
  <c r="E36" i="1"/>
  <c r="E124" i="1"/>
  <c r="E37" i="1"/>
  <c r="E125" i="1"/>
  <c r="E38" i="1"/>
  <c r="E39" i="1"/>
  <c r="E126" i="1"/>
  <c r="E40" i="1"/>
  <c r="E41" i="1"/>
  <c r="E177" i="1"/>
  <c r="E42" i="1"/>
  <c r="E43" i="1"/>
  <c r="E127" i="1"/>
  <c r="E128" i="1"/>
  <c r="E129" i="1"/>
  <c r="E130" i="1"/>
  <c r="E178" i="1"/>
  <c r="E44" i="1"/>
  <c r="E131" i="1"/>
  <c r="E45" i="1"/>
  <c r="E132" i="1"/>
  <c r="E179" i="1"/>
  <c r="E133" i="1"/>
  <c r="E46" i="1"/>
  <c r="E47" i="1"/>
  <c r="E48" i="1"/>
  <c r="E49" i="1"/>
  <c r="E50" i="1"/>
  <c r="E51" i="1"/>
  <c r="E134" i="1"/>
  <c r="E52" i="1"/>
  <c r="E180" i="1"/>
  <c r="E135" i="1"/>
  <c r="E136" i="1"/>
  <c r="E137" i="1"/>
  <c r="E181" i="1"/>
  <c r="E138" i="1"/>
  <c r="E139" i="1"/>
  <c r="E53" i="1"/>
  <c r="E140" i="1"/>
  <c r="E141" i="1"/>
  <c r="E142" i="1"/>
  <c r="E143" i="1"/>
  <c r="E54" i="1"/>
  <c r="E55" i="1"/>
  <c r="E56" i="1"/>
  <c r="E144" i="1"/>
  <c r="E145" i="1"/>
  <c r="E57" i="1"/>
  <c r="E146" i="1"/>
  <c r="E182" i="1"/>
  <c r="E58" i="1"/>
  <c r="E59" i="1"/>
  <c r="E60" i="1"/>
  <c r="E61" i="1"/>
  <c r="E147" i="1"/>
  <c r="E148" i="1"/>
  <c r="E149" i="1"/>
  <c r="E150" i="1"/>
  <c r="E151" i="1"/>
  <c r="E183" i="1"/>
  <c r="E152" i="1"/>
  <c r="E62" i="1"/>
  <c r="E184" i="1"/>
  <c r="E153" i="1"/>
  <c r="E154" i="1"/>
  <c r="E155" i="1"/>
  <c r="E185" i="1"/>
  <c r="E63" i="1"/>
  <c r="E156" i="1"/>
  <c r="E157" i="1"/>
  <c r="E158" i="1"/>
  <c r="E64" i="1"/>
  <c r="E186" i="1"/>
  <c r="E65" i="1"/>
  <c r="E66" i="1"/>
  <c r="E67" i="1"/>
  <c r="E187" i="1"/>
  <c r="E68" i="1"/>
  <c r="E159" i="1"/>
  <c r="E75" i="1"/>
</calcChain>
</file>

<file path=xl/sharedStrings.xml><?xml version="1.0" encoding="utf-8"?>
<sst xmlns="http://schemas.openxmlformats.org/spreadsheetml/2006/main" count="763" uniqueCount="399">
  <si>
    <t>Item Code</t>
  </si>
  <si>
    <t>Description</t>
  </si>
  <si>
    <t>SBM-001-007-0000002</t>
  </si>
  <si>
    <t>MOLY ATTACH</t>
  </si>
  <si>
    <t>SBM-001-009-0000024</t>
  </si>
  <si>
    <t>FUJI SEISAKUSHO SMAF180:FUJIRANDAM</t>
  </si>
  <si>
    <t>SBM-002-010-0000003</t>
  </si>
  <si>
    <t>TAPPING SPRAY(NET:397G) TAPPING SPRAY</t>
  </si>
  <si>
    <t>SBM-003-001-0000228</t>
  </si>
  <si>
    <t>CLAMP RING 13-20</t>
  </si>
  <si>
    <t>SBM-003-010-0000100</t>
  </si>
  <si>
    <t>COIL SPRING SWR14.5-15</t>
  </si>
  <si>
    <t>SBM-003-010-0000141</t>
  </si>
  <si>
    <t>MISUMI SWR31-60 COIL SPRING</t>
  </si>
  <si>
    <t>SBM-003-012-0000063</t>
  </si>
  <si>
    <t>M6X15 MATERIAL BAJA HITAM (12.9)</t>
  </si>
  <si>
    <t>SBM-003-012-0000078</t>
  </si>
  <si>
    <t>M10X20 MATERIAL BAJA HITAM (12.9)</t>
  </si>
  <si>
    <t>SBM-003-012-0000079</t>
  </si>
  <si>
    <t>M10X25 MATERIAL BAJA HITAM (12.9)</t>
  </si>
  <si>
    <t>SBM-003-012-0000095</t>
  </si>
  <si>
    <t>M16X60 MATERIAL BAJA HITAM (12.9)</t>
  </si>
  <si>
    <t>SBM-003-012-0000126</t>
  </si>
  <si>
    <t>M24X90 MATERIAL BAJA HITAM (12.9)</t>
  </si>
  <si>
    <t>SBM-003-012-0000127</t>
  </si>
  <si>
    <t>M24X100 MATERIAL BAJA HITAM (12.9)</t>
  </si>
  <si>
    <t>SBM-003-012-0000334</t>
  </si>
  <si>
    <t>BOLT L M16 X 70 MATERIAL BAJA HITAM 12.9</t>
  </si>
  <si>
    <t>SBM-003-012-0000423</t>
  </si>
  <si>
    <t>BOLT MATERIAL BAJA HITAM (12.9) M5X15</t>
  </si>
  <si>
    <t>SBM-003-121-00000001</t>
  </si>
  <si>
    <t>AIR GRIPPER MHS2-63D-X4</t>
  </si>
  <si>
    <t>SBM-003-136-00000007</t>
  </si>
  <si>
    <t>SOFT URETHANE DXFL-D25-V21-T10-L20-C12</t>
  </si>
  <si>
    <t>SBM-004-001-0000205</t>
  </si>
  <si>
    <t>KH-350R WELDING ROD Φ2.4 KANSAI</t>
  </si>
  <si>
    <t>SBM-004-001-0000450</t>
  </si>
  <si>
    <t>UPPER BLADE 401-0-001-DIA 53</t>
  </si>
  <si>
    <t>SBM-004-001-0000560</t>
  </si>
  <si>
    <t>PUTTY SCRAPER 4"INCH</t>
  </si>
  <si>
    <t>SBM-004-002-0000024</t>
  </si>
  <si>
    <t>DAIWA RABIN 3MM 6X17X3 WA80 CM55</t>
  </si>
  <si>
    <t>SBM-004-002-0000048</t>
  </si>
  <si>
    <t>BALL ENDMILL EPDBE2040-20-ATH HITACHI</t>
  </si>
  <si>
    <t>SBM-004-002-0000179</t>
  </si>
  <si>
    <t>Proximity Sensor : E2E-X7D1-N</t>
  </si>
  <si>
    <t>SBM-004-005-0000003</t>
  </si>
  <si>
    <t>R3X20X100L ALCRONA BALLENDMILL</t>
  </si>
  <si>
    <t>SBM-004-005-0000005</t>
  </si>
  <si>
    <t>R5X25X105L ALCRONA BALLENDMILL</t>
  </si>
  <si>
    <t>SBM-004-005-0000006</t>
  </si>
  <si>
    <t>R6X25X110L ALCRONA BALLENDMILL</t>
  </si>
  <si>
    <t>SBM-004-008-0000030</t>
  </si>
  <si>
    <t>YOSHIDA-PNEUMATIC PENCIL GRINDER-YG-06-1</t>
  </si>
  <si>
    <t>SBM-004-014-0000018</t>
  </si>
  <si>
    <t>VXZ240FGXCC DIRECTIONAL VALVE</t>
  </si>
  <si>
    <t>SBM-004-018-0000011</t>
  </si>
  <si>
    <t>DAIWA RABIN 3MM 4X13X3 WA180 CM55</t>
  </si>
  <si>
    <t>SBM-004-022-0000011</t>
  </si>
  <si>
    <t>FAN UNIT FANUC  A06B-0241-K051</t>
  </si>
  <si>
    <t>SBM-004-109-0000008</t>
  </si>
  <si>
    <t>SILENCER AN15-02</t>
  </si>
  <si>
    <t>SBM-004-114-0000007</t>
  </si>
  <si>
    <t>CONTROL RELAY - LY2N DC 24 BY OMI</t>
  </si>
  <si>
    <t>SBM-004-211-0000001</t>
  </si>
  <si>
    <t>BALLENDMILL R4X20X100L ALCRONA</t>
  </si>
  <si>
    <t>SBM-005-027-0000002</t>
  </si>
  <si>
    <t>FT-50A INFRARED THERMOSENSOR</t>
  </si>
  <si>
    <t>SBM-005-049-0000002</t>
  </si>
  <si>
    <t>GLYCERINE BATH TYPE PRESSURE GAUGE GV55</t>
  </si>
  <si>
    <t>SBM-006-0004-00-0000006</t>
  </si>
  <si>
    <t>SCREW SPACER #6 IDK201-01-537</t>
  </si>
  <si>
    <t>SBM-006-001-0000301</t>
  </si>
  <si>
    <t>IDH201-0004-903 #3 UPPER KNOCK DOWN PIN</t>
  </si>
  <si>
    <t>SBM-006-020-0000001</t>
  </si>
  <si>
    <t>#5 STRIP SCREW IDK201-01-S04</t>
  </si>
  <si>
    <t>SBM-006-020-0000006</t>
  </si>
  <si>
    <t>#3, UPPER KNOCK OUT PIN IDH451-0002-902</t>
  </si>
  <si>
    <t>SBM-006-020-0000062</t>
  </si>
  <si>
    <t>#2 UPPER KNOCK OUTPIN IDH451-0003-900</t>
  </si>
  <si>
    <t>SBM-006-049-0000002</t>
  </si>
  <si>
    <t>#3 LOWER KNOCK OUT PIN IDH201-0004-904</t>
  </si>
  <si>
    <t>SBM-006-4001-00-0000010</t>
  </si>
  <si>
    <t>#2 LOWER KNOCKOUT PIN IDH451-4000-901</t>
  </si>
  <si>
    <t>SBM-007-001-0002239</t>
  </si>
  <si>
    <t>CARBIDE TAPER BALLENDMILLR4X12X55X1X125L</t>
  </si>
  <si>
    <t>SBM-008-002-0000004</t>
  </si>
  <si>
    <t>LDEP BOX  98X85X88X0.06MM</t>
  </si>
  <si>
    <t>SBM-009-002-0000003</t>
  </si>
  <si>
    <t>UNIFORM</t>
  </si>
  <si>
    <t>SBM-009-003-0000002</t>
  </si>
  <si>
    <t>WORK GLOVE TOWA</t>
  </si>
  <si>
    <t>SBM-009-005-0000001</t>
  </si>
  <si>
    <t>MASKER TALI KUPING</t>
  </si>
  <si>
    <t>SBM-009-008-0000005</t>
  </si>
  <si>
    <t>KACAMATA KINGS KY 2221</t>
  </si>
  <si>
    <t>SBM-009-009-0000001</t>
  </si>
  <si>
    <t>SARUNG TANGAN COMET CTMKG 905 GREY</t>
  </si>
  <si>
    <t>SBM-009-015-0000001</t>
  </si>
  <si>
    <t>ROMPI MODEL V</t>
  </si>
  <si>
    <t>SBM-009-018-0000001</t>
  </si>
  <si>
    <t>ARM SLEEVE BLACK</t>
  </si>
  <si>
    <t>SBM-010-001-0000449</t>
  </si>
  <si>
    <t>KARUNG GONI</t>
  </si>
  <si>
    <t>SBM-010-001-0000450</t>
  </si>
  <si>
    <t>LABEL YUPO  UK. 12X10</t>
  </si>
  <si>
    <t>SBM-010-003-0000018</t>
  </si>
  <si>
    <t>KAIN MAJUN TUMPUK</t>
  </si>
  <si>
    <t>SBM-010-003-0000134</t>
  </si>
  <si>
    <t>PYLOX 165 TROPICANA</t>
  </si>
  <si>
    <t>SBM-010-003-0000139</t>
  </si>
  <si>
    <t>PYLOX 109 BLACK</t>
  </si>
  <si>
    <t>SBM-010-003-0000140</t>
  </si>
  <si>
    <t>PYLOX 106 LIGH GREEY</t>
  </si>
  <si>
    <t>SBM-011-002-0000003</t>
  </si>
  <si>
    <t>ROUNDED STEEL CUT WIRE SHOT 0,6</t>
  </si>
  <si>
    <t>SBM-001-003-0000005</t>
  </si>
  <si>
    <t>SUPER KEEP AR100K ANTI COROSIVE</t>
  </si>
  <si>
    <t>SBM-003-035-0000001</t>
  </si>
  <si>
    <t>COUPLER K3-03SH</t>
  </si>
  <si>
    <t>SBM-003-059-0000003</t>
  </si>
  <si>
    <t>SKUN CONNECTOR (150-12)</t>
  </si>
  <si>
    <t>SBM-004-021-0000029</t>
  </si>
  <si>
    <t>PACKING ISI 40</t>
  </si>
  <si>
    <t>SBM-004-027-0000064</t>
  </si>
  <si>
    <t>FITTING KSL08-02S</t>
  </si>
  <si>
    <t>SBM-004-066-0000014</t>
  </si>
  <si>
    <t>RAIL Ø 65 COIL</t>
  </si>
  <si>
    <t>SBM-003-077-0000034</t>
  </si>
  <si>
    <t>CONTROL RELAY MY4N-D2-GS DC 24 BY OMZ</t>
  </si>
  <si>
    <t>SBM-004-017-0000029</t>
  </si>
  <si>
    <t>GEAR PUMP QT63-125F-A SUMITOMO</t>
  </si>
  <si>
    <t>SBM-010-003-0000197</t>
  </si>
  <si>
    <t>SILICONE SEALANT DOWCORNING GRAY</t>
  </si>
  <si>
    <t>SBM-003-001-0000491</t>
  </si>
  <si>
    <t>POTENSIO 10K</t>
  </si>
  <si>
    <t>SBM-004-093-0000008</t>
  </si>
  <si>
    <t>MONITORING COMPO K3HB-XVA-CPAC11</t>
  </si>
  <si>
    <t>SBM-006-001-0000689</t>
  </si>
  <si>
    <t>2ND &amp; 3RD STAGE PLATE IDK251-06-603</t>
  </si>
  <si>
    <t>SBM-004-072-0000004</t>
  </si>
  <si>
    <t>SENSOR ZX0-LD300A61 2M</t>
  </si>
  <si>
    <t>SBM-004-072-0000049</t>
  </si>
  <si>
    <t>PHOTO ELECTRIC SENSOR E3ZM-T61 2M</t>
  </si>
  <si>
    <t>SBM-004-014-0000102</t>
  </si>
  <si>
    <t>HSO-G03-D02F-LZ-21 SELENOID VALVE</t>
  </si>
  <si>
    <t>SBM-009-006-0000002</t>
  </si>
  <si>
    <t>SAFETY SHOES TS3017R (TANPA TALI)</t>
  </si>
  <si>
    <t>SBM-009-004-0000004</t>
  </si>
  <si>
    <t>HELM TANIZAWA ST#147 EZ MATERIALPE ORANG</t>
  </si>
  <si>
    <t>SBM-004-014-0000026</t>
  </si>
  <si>
    <t>SELENOID VALVE VF5244-5DZD1-02</t>
  </si>
  <si>
    <t>SBM-004-016-0000064</t>
  </si>
  <si>
    <t>AIR CYLINDER MGPM32-125Z-X867</t>
  </si>
  <si>
    <t>SBM-004-022-0000005</t>
  </si>
  <si>
    <t>MITSUBISHI MR-PWCNS5</t>
  </si>
  <si>
    <t>SBM-004-001-0000796</t>
  </si>
  <si>
    <t>CARBIDE TAPER BALLENDMILL R5X15X65X1X140</t>
  </si>
  <si>
    <t>SBM-003-018-0000052</t>
  </si>
  <si>
    <t>FLOW LIMITER NOZZLE 24-0455-2578 (0.7MM)</t>
  </si>
  <si>
    <t>SBM-003-018-0000053</t>
  </si>
  <si>
    <t>FLOW LIMITER NOZZLE 24-0455-2582 (0.9MM)</t>
  </si>
  <si>
    <t>SBM-003-018-0000054</t>
  </si>
  <si>
    <t>FLOW LIMITER NOZZLE 24-0455-2584 (1.0MM)</t>
  </si>
  <si>
    <t>SBM-010-003-0000246</t>
  </si>
  <si>
    <t>CAT EPODUR CHEMICAL RESISTANT WHITE</t>
  </si>
  <si>
    <t>SBM-003-093-0000072</t>
  </si>
  <si>
    <t>O-RING SERVICE KIT P&amp;G</t>
  </si>
  <si>
    <t>SBM-003-001-0000571</t>
  </si>
  <si>
    <t>CINCIN PIPE DIA 10</t>
  </si>
  <si>
    <t>SBM-010-001-0000548</t>
  </si>
  <si>
    <t>ELECTRICAL TAPE</t>
  </si>
  <si>
    <t>SBM-004-098-0000031</t>
  </si>
  <si>
    <t>KABEL NYAF 0.75 YELLOW (1 ROLL=100M)</t>
  </si>
  <si>
    <t>SBM-003-012-0000369</t>
  </si>
  <si>
    <t>BEARING 6209ZZ</t>
  </si>
  <si>
    <t>SBM-004-009-0000020</t>
  </si>
  <si>
    <t>CHAIN RS80-LMC-8L98LWK2</t>
  </si>
  <si>
    <t>SBM-006-022-0000010</t>
  </si>
  <si>
    <t>SWU 31-75 COIL SPRING</t>
  </si>
  <si>
    <t>SBM-003-018-0000040</t>
  </si>
  <si>
    <t>FLOW LIMITER NOZZLE 24-0455-2576 (0.6)</t>
  </si>
  <si>
    <t>SBM-004-014-0000167</t>
  </si>
  <si>
    <t>DIVIDER VALVES GREASE PUMP UNIT #GD0426S</t>
  </si>
  <si>
    <t>SBM-004-014-0000168</t>
  </si>
  <si>
    <t>DIVIDER VALVES MAIN PIPING #GD0114S</t>
  </si>
  <si>
    <t>SBM-004-014-0000169</t>
  </si>
  <si>
    <t>DIVIDER VALVES MOVING NOZZLE #GD9363S</t>
  </si>
  <si>
    <t>SBM-004-060-0000001</t>
  </si>
  <si>
    <t>WA1802D DISTRIBUTOR</t>
  </si>
  <si>
    <t>SBM-005-027-0000001</t>
  </si>
  <si>
    <t>FT-H50K INFRARED THERMOSENSOR</t>
  </si>
  <si>
    <t>SBM-004-016-0000065</t>
  </si>
  <si>
    <t>AIR CYLINDER MGPM32-25Z-X867</t>
  </si>
  <si>
    <t>SBM-003-154-00000011</t>
  </si>
  <si>
    <t>FILLTER DUST COLLECTOR NCF-33S 1908</t>
  </si>
  <si>
    <t>SBM-003-154-00000013</t>
  </si>
  <si>
    <t>LINER 3B7520E2045</t>
  </si>
  <si>
    <t>SBM-003-154-00000014</t>
  </si>
  <si>
    <t>LINER STA E0383B</t>
  </si>
  <si>
    <t>SBM-003-010-0000161</t>
  </si>
  <si>
    <t>SPRING SKO 2000 TAP (CR 3 L 130 STEEL)</t>
  </si>
  <si>
    <t>SBM-004-015-0000014</t>
  </si>
  <si>
    <t>AIR CYLINDER MGPM63-100Z-M9BWL</t>
  </si>
  <si>
    <t>SBM-004-045-0000028</t>
  </si>
  <si>
    <t>UPPER BLADE DIA 32</t>
  </si>
  <si>
    <t>SBM-004-172-0000004</t>
  </si>
  <si>
    <t>CHAIN RS60-10LK1</t>
  </si>
  <si>
    <t>SBM-004-027-0000066</t>
  </si>
  <si>
    <t>LEVER LOCK COUPLER NITTO (LC-20 TSH)</t>
  </si>
  <si>
    <t>SBM-010-003-0000177</t>
  </si>
  <si>
    <t>BAK CAT</t>
  </si>
  <si>
    <t>SBM-010-003-0000176</t>
  </si>
  <si>
    <t>ROLL BESAR + GAGANG BESI</t>
  </si>
  <si>
    <t>SBM-002-010-0000005</t>
  </si>
  <si>
    <t>MICRO CHECK CLEANER (420ML)(00141)</t>
  </si>
  <si>
    <t>SBM-002-010-0000007</t>
  </si>
  <si>
    <t>MICRO CHECK DEVELOPMENT  (420ML)(00145)</t>
  </si>
  <si>
    <t>SBM-009-008-0000007</t>
  </si>
  <si>
    <t>KACAMATA GOOGLE 3M TYPE 334</t>
  </si>
  <si>
    <t>SBM-003-013-0000066</t>
  </si>
  <si>
    <t>NITTO, HI CUPLA 20 PM</t>
  </si>
  <si>
    <t>SBM-003-103-0000001</t>
  </si>
  <si>
    <t>DISK SPRING SRBN40-B</t>
  </si>
  <si>
    <t>SBM-004-001-0000880</t>
  </si>
  <si>
    <t>LINE FILTER MDF ON 110 OC5C 1.0/-B6</t>
  </si>
  <si>
    <t>SBM-003-001-0000722</t>
  </si>
  <si>
    <t>SOCKET MILLITARY 19PIN</t>
  </si>
  <si>
    <t>SBM-006-001-0000888</t>
  </si>
  <si>
    <t>#2 UPPER KNOCK DOWN PIN IDH201-2004-900</t>
  </si>
  <si>
    <t>SBM-004-051-0000024</t>
  </si>
  <si>
    <t>MOTOR GM-SHYF-RH 0.2 KW 4P 200V 50 HZ</t>
  </si>
  <si>
    <t>SBM-003-034-0000243</t>
  </si>
  <si>
    <t>HOSE ASSY 1/4"X65 CM BL2-4X65CM</t>
  </si>
  <si>
    <t>SBM-003-001-0000733</t>
  </si>
  <si>
    <t>PHOTO ELECTRIC SWITCH E3T-ST12 OMRON</t>
  </si>
  <si>
    <t>SBM-004-051-0000032</t>
  </si>
  <si>
    <t>SUMITOMO RNYM1-1420-15 : MOTOR 1.5KW/4</t>
  </si>
  <si>
    <t>SBM-003-198-000000001</t>
  </si>
  <si>
    <t>KUKU ROBOT O LINE 2000 TAP F0454-01-10</t>
  </si>
  <si>
    <t>SBM-004-045-0000041</t>
  </si>
  <si>
    <t>LOWER BLADE 041-0-002-DIA.53</t>
  </si>
  <si>
    <t>SBM-004-073-0000010</t>
  </si>
  <si>
    <t>WIRE ROPE SLING DIA 16 2KAKI X 3.5M + MA</t>
  </si>
  <si>
    <t>SBM-004-001-0000820</t>
  </si>
  <si>
    <t>MAF CARBIDE BUR DIAMOND CUT-SB W.</t>
  </si>
  <si>
    <t>SBM-009-002-0000024</t>
  </si>
  <si>
    <t>UNIFORM NEW MODEL 2019</t>
  </si>
  <si>
    <t>SBM-010-003-0000368</t>
  </si>
  <si>
    <t>ROLL CAT KECIL EPOXY 4" + GAGANG</t>
  </si>
  <si>
    <t>SBM-004-077-0000008</t>
  </si>
  <si>
    <t>LIMIT SWITCH WLCA12-LD-N OMRON</t>
  </si>
  <si>
    <t>SBM-003-099-0000044</t>
  </si>
  <si>
    <t>PULLEY BE B0142D PART SHOTBLAST MACHINE</t>
  </si>
  <si>
    <t>SBM-003-010-0000167</t>
  </si>
  <si>
    <t>SWU31-140 COIL SPRING</t>
  </si>
  <si>
    <t>SBM-003-091-0000100</t>
  </si>
  <si>
    <t>ROLLER CHAIN 9N01B000108</t>
  </si>
  <si>
    <t>SBM-004-038-0000050</t>
  </si>
  <si>
    <t>INTERCONNECTION CABLE OP-87640</t>
  </si>
  <si>
    <t>SBM-004-238-0000005</t>
  </si>
  <si>
    <t>DISTRIBUTION VALVE VPKG-3 (1)GREASE 4500</t>
  </si>
  <si>
    <t>SBM-004-238-0000006</t>
  </si>
  <si>
    <t>DISTRIBUTION VALVE VPKG-3 (2)GREASE 4500</t>
  </si>
  <si>
    <t>SBM-004-238-0000007</t>
  </si>
  <si>
    <t>DISTRIBUTION VALVE VPKG-5 (3)GREASE 4500</t>
  </si>
  <si>
    <t>SBM-004-238-0000009</t>
  </si>
  <si>
    <t>DISTRIBUTION VALVE VPKG-3 (5)GREASE 4500</t>
  </si>
  <si>
    <t>SBM-004-238-0000010</t>
  </si>
  <si>
    <t>DISTRIBUTION VALVE VPKG-3 (6)GREASE 4500</t>
  </si>
  <si>
    <t>SBM-004-238-0000011</t>
  </si>
  <si>
    <t>DISTRIBUTION VALVE VPKG-3 (7)GREASE 4500</t>
  </si>
  <si>
    <t>SBM-004-001-0001063</t>
  </si>
  <si>
    <t>HEXAGONAL KEY WRENCH L-TYPE HK 19</t>
  </si>
  <si>
    <t>SBM-004-014-0000202</t>
  </si>
  <si>
    <t>SOLENOID VALVE VP3145-065DZA</t>
  </si>
  <si>
    <t>SBM-003-012-0000698</t>
  </si>
  <si>
    <t>THT SPRING TR TR26X110</t>
  </si>
  <si>
    <t>SBM-004-001-0001137</t>
  </si>
  <si>
    <t>HASHIMOTO CLOTCH E20150P : FILTER</t>
  </si>
  <si>
    <t>SBM-010-004-0001069</t>
  </si>
  <si>
    <t>RUST PREVENTIVE OIL EMCOAT 031-011</t>
  </si>
  <si>
    <t>SBM-001-024-0000001</t>
  </si>
  <si>
    <t>OIL SHELL TONNA T68</t>
  </si>
  <si>
    <t>SBM-001-009-0000045</t>
  </si>
  <si>
    <t>AQUACOAT NO.2</t>
  </si>
  <si>
    <t>SBM-010-003-0000462</t>
  </si>
  <si>
    <t>SARUNG REMOTE PLASTIK MIKA (CUSTOM)</t>
  </si>
  <si>
    <t>SBM-004-001-0000673</t>
  </si>
  <si>
    <t>CB2A 003S : CARBIDE BUR</t>
  </si>
  <si>
    <t>SBM-004-001-0001228</t>
  </si>
  <si>
    <t>2HCBE060120100 "JJ TOOLS"</t>
  </si>
  <si>
    <t>SBM-003-010-0000191</t>
  </si>
  <si>
    <t>PRPRESS SPRING OD84.5-WD5.5-L120</t>
  </si>
  <si>
    <t>SBM-003-012-0000703</t>
  </si>
  <si>
    <t>PRESS SPRING OD72.5-WD5.5-L110</t>
  </si>
  <si>
    <t>SBM-009-006-0000013</t>
  </si>
  <si>
    <t>SAFETY SHOES TYPE ST1022 D-6 BLACK SIMON</t>
  </si>
  <si>
    <t>SBM-004-002-0000219</t>
  </si>
  <si>
    <t>OH COPPER HAMMER CO45H</t>
  </si>
  <si>
    <t>SBM-004-001-0001285</t>
  </si>
  <si>
    <t>MOUNTED POINT FSK 13X13X3X30 MP321 PA60</t>
  </si>
  <si>
    <t>SBM-004-001-0001330</t>
  </si>
  <si>
    <t>MOUNTED POINT FSK MP101 PA60NVA 5X13X3X</t>
  </si>
  <si>
    <t>SBM-003-156-0000056</t>
  </si>
  <si>
    <t>REMOTE I/O(SCREW TER/BLOCK) AJ65SBTB1-16</t>
  </si>
  <si>
    <t>SBM-004-066-0000038</t>
  </si>
  <si>
    <t>TOYOX HOSE CLAMP ALL SUS SB-15</t>
  </si>
  <si>
    <t>SBM-003-012-0000776</t>
  </si>
  <si>
    <t>CSHBTT-ST-M12-40 SA11 FASTENING</t>
  </si>
  <si>
    <t>SBM-004-001-0001328</t>
  </si>
  <si>
    <t>BKD-61R WELDING ROD 2.4MM X 1000MM</t>
  </si>
  <si>
    <t>SBM-006-001-0001834</t>
  </si>
  <si>
    <t>PART 2 INSERT LOCK FEMALE C</t>
  </si>
  <si>
    <t>SBM-006-001-0001874</t>
  </si>
  <si>
    <t>RB2 FINGER R (TPE : COMMON USE) 1-4500T</t>
  </si>
  <si>
    <t>SBM-004-066-0000034</t>
  </si>
  <si>
    <t>RAIL BILLET HEATER DIA 87 MID (NEW MODEL</t>
  </si>
  <si>
    <t>SBM-004-066-0000035</t>
  </si>
  <si>
    <t>RAIL BILLET HEATER DIA 87 OUT (NEW MODEL</t>
  </si>
  <si>
    <t>SBM-003-012-0000829</t>
  </si>
  <si>
    <t>BEARING 6001Z JAPAN</t>
  </si>
  <si>
    <t>SBM-004-014-0000205</t>
  </si>
  <si>
    <t>VXB215AA DIRECTIONAL CONTROL VALVE</t>
  </si>
  <si>
    <t>SBM-006-001-0001932</t>
  </si>
  <si>
    <t>RB-1 UPPER (UUPER KUKU ROBOT 1 COMMON US</t>
  </si>
  <si>
    <t>SBM-003-001-0002154</t>
  </si>
  <si>
    <t>HITACHI VALVE TYPE HM10KSG SIZE 3/8 INCH</t>
  </si>
  <si>
    <t>SBM-006-001-0001946</t>
  </si>
  <si>
    <t>F4-1 HOUSING</t>
  </si>
  <si>
    <t>SBM-006-001-0001951</t>
  </si>
  <si>
    <t>MATERIAL UHMW-PE LOWER BASE</t>
  </si>
  <si>
    <t>SBM-006-001-0001841</t>
  </si>
  <si>
    <t>MIDDLE BASE MOVING NOZZLE</t>
  </si>
  <si>
    <t>SBM-010-001-0001102</t>
  </si>
  <si>
    <t>SPIDOL VAUTO</t>
  </si>
  <si>
    <t>SBM-004-031-0000027</t>
  </si>
  <si>
    <t>NS-1401 P24 Oil Seal</t>
  </si>
  <si>
    <t>SBM-003-001-0002680</t>
  </si>
  <si>
    <t>DIAMOND SUSPENSION (P) XP15 3µ (0.5 LTR)</t>
  </si>
  <si>
    <t>SBM-006-001-0001324</t>
  </si>
  <si>
    <t>STOPPER IDH201-2004-462</t>
  </si>
  <si>
    <t>SBM-004-091-0000008</t>
  </si>
  <si>
    <t>PVC HIJAU 270X3590 MM</t>
  </si>
  <si>
    <t>SBM-003-012-0000859</t>
  </si>
  <si>
    <t>AS DRAT M12X1M (BAJA)</t>
  </si>
  <si>
    <t>SBM-003-012-0000861</t>
  </si>
  <si>
    <t>AS DRAT M16X1M (BAJA)</t>
  </si>
  <si>
    <t>SBM-006-001-0002179</t>
  </si>
  <si>
    <t>IDK201-01-530 #2 HARD PLATE (UPPER) T=25</t>
  </si>
  <si>
    <t>SBM-006-001-0002180</t>
  </si>
  <si>
    <t>IDK201-01-531 #2.3 HARD PLATE (LOWER) T=</t>
  </si>
  <si>
    <t>SBM-006-001-0002181</t>
  </si>
  <si>
    <t>IDK201-01-533 #4HARD PLATE (UPPER) T=25.</t>
  </si>
  <si>
    <t>SBM-006-001-0002182</t>
  </si>
  <si>
    <t>IDK201-01-534 #4 HARD PLATE (LOWER) T=25</t>
  </si>
  <si>
    <t>SBM-003-054-0000079</t>
  </si>
  <si>
    <t>CHAIN RS50-3R (SUS304)</t>
  </si>
  <si>
    <t>SBM-004-017-0000044</t>
  </si>
  <si>
    <t>TSURUMI SUBMERSIBLE PUMP HSZ2.4S</t>
  </si>
  <si>
    <t>SBM-010-004-0001456</t>
  </si>
  <si>
    <t>BAJU AZMAT</t>
  </si>
  <si>
    <t>SBM-004-083-0000063</t>
  </si>
  <si>
    <t>HOSE MOVING NOZLE 2000T FIT 2GU-16-16X2</t>
  </si>
  <si>
    <t>SBM-004-083-0000064</t>
  </si>
  <si>
    <t>HOSE MOVING NOZLE 2000T BL2-4X205CM</t>
  </si>
  <si>
    <t>SBM-004-083-0000065</t>
  </si>
  <si>
    <t>HOSE MOVING NOZLE 2000T BL4-12X205CM</t>
  </si>
  <si>
    <t>SBM-006-001-0002329</t>
  </si>
  <si>
    <t>SBM-010-004-0001340</t>
  </si>
  <si>
    <t>HOSE MOVING NOZZLE 2500T</t>
  </si>
  <si>
    <t>SBM-008-036-0000003</t>
  </si>
  <si>
    <t>BOSELON 103 SQB 0,08X820X570X870</t>
  </si>
  <si>
    <t>EB</t>
  </si>
  <si>
    <t xml:space="preserve">NO PO </t>
  </si>
  <si>
    <t>QTY PO</t>
  </si>
  <si>
    <t>MAX</t>
  </si>
  <si>
    <t>ORDER POINT</t>
  </si>
  <si>
    <t>MIN</t>
  </si>
  <si>
    <t>000000000035083</t>
  </si>
  <si>
    <t>000000000035082</t>
  </si>
  <si>
    <t>000000000035068</t>
  </si>
  <si>
    <t>000000000033602</t>
  </si>
  <si>
    <t>000000000035100</t>
  </si>
  <si>
    <t>000000000035087</t>
  </si>
  <si>
    <t xml:space="preserve">STATUS </t>
  </si>
  <si>
    <t>H+2</t>
  </si>
  <si>
    <t>URGENT</t>
  </si>
  <si>
    <t>H+1</t>
  </si>
  <si>
    <t xml:space="preserve">USER </t>
  </si>
  <si>
    <t>DIES SHOP</t>
  </si>
  <si>
    <t>PRODUCTION</t>
  </si>
  <si>
    <t>Maintenance</t>
  </si>
  <si>
    <t>DIES ASSY</t>
  </si>
  <si>
    <t>QA</t>
  </si>
  <si>
    <t>QC</t>
  </si>
  <si>
    <t>HRGA</t>
  </si>
  <si>
    <t>PPIC</t>
  </si>
  <si>
    <t>QTY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</si>
</sst>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3" borderId="2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PPIC\WHC%20CALCULATION%202024\WHC%202025\Monitoring%20PP%202025\Monitoring%20PP%20November%202025.xlsx" TargetMode="External"/><Relationship Id="rId1" Type="http://schemas.openxmlformats.org/officeDocument/2006/relationships/externalLinkPath" Target="/PPIC/WHC%20CALCULATION%202024/WHC%202025/Monitoring%20PP%202025/Monitoring%20PP%20Nov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GA BARANG"/>
      <sheetName val="New budget 2024-2025"/>
      <sheetName val="Ending Balance"/>
      <sheetName val="KONDISI STOCK"/>
      <sheetName val="New budget 2025-2026"/>
      <sheetName val="Open PP"/>
      <sheetName val="MASTER"/>
      <sheetName val="GR"/>
      <sheetName val="P P"/>
      <sheetName val="P O"/>
      <sheetName val="GI"/>
      <sheetName val="T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Item CD</v>
          </cell>
          <cell r="B1" t="str">
            <v>Item name</v>
          </cell>
          <cell r="C1" t="str">
            <v>Supplier name</v>
          </cell>
          <cell r="D1" t="str">
            <v>Receipt schedule input qty.</v>
          </cell>
          <cell r="E1" t="str">
            <v>Receipt schedule input unit name</v>
          </cell>
          <cell r="F1" t="str">
            <v>PO No.</v>
          </cell>
        </row>
        <row r="2">
          <cell r="A2" t="str">
            <v>SBM-007-001-0005043</v>
          </cell>
          <cell r="B2" t="str">
            <v>RENTAL FORKLIFT REACH TRUCK (BRAND NEW)</v>
          </cell>
          <cell r="C2" t="str">
            <v>PT KARUNIA MAS SEWATAMA</v>
          </cell>
          <cell r="D2">
            <v>9</v>
          </cell>
          <cell r="E2" t="str">
            <v>Lot</v>
          </cell>
          <cell r="F2" t="str">
            <v>000000000022811</v>
          </cell>
        </row>
        <row r="3">
          <cell r="A3" t="str">
            <v>SBM-007-001-0004889</v>
          </cell>
          <cell r="B3" t="str">
            <v>RENTAL FORKLIFT DIESEL 3TON (NEW) MITSUB</v>
          </cell>
          <cell r="C3" t="str">
            <v>PT. KIANIS PRATAMA</v>
          </cell>
          <cell r="D3">
            <v>5</v>
          </cell>
          <cell r="E3" t="str">
            <v>Month</v>
          </cell>
          <cell r="F3" t="str">
            <v>000000000024453</v>
          </cell>
        </row>
        <row r="4">
          <cell r="A4" t="str">
            <v>SBM-003-018-0000054</v>
          </cell>
          <cell r="B4" t="str">
            <v>FLOW LIMITER NOZZLE 24-0455-2584 (1.0MM)</v>
          </cell>
          <cell r="C4" t="str">
            <v>PT. Kiso-Seiko Indonesia</v>
          </cell>
          <cell r="D4">
            <v>1</v>
          </cell>
          <cell r="E4" t="str">
            <v>Pcs</v>
          </cell>
          <cell r="F4" t="str">
            <v>000000000028605</v>
          </cell>
        </row>
        <row r="5">
          <cell r="A5" t="str">
            <v>SBM-003-018-0000040</v>
          </cell>
          <cell r="B5" t="str">
            <v>FLOW LIMITER NOZZLE 24-0455-2576 (0.6)</v>
          </cell>
          <cell r="C5" t="str">
            <v>PT. Kiso-Seiko Indonesia</v>
          </cell>
          <cell r="D5">
            <v>1</v>
          </cell>
          <cell r="E5" t="str">
            <v>Pcs</v>
          </cell>
          <cell r="F5" t="str">
            <v>000000000028605</v>
          </cell>
        </row>
        <row r="6">
          <cell r="A6" t="str">
            <v>SBM-003-018-0000054</v>
          </cell>
          <cell r="B6" t="str">
            <v>FLOW LIMITER NOZZLE 24-0455-2584 (1.0MM)</v>
          </cell>
          <cell r="C6" t="str">
            <v>PT. Kiso-Seiko Indonesia</v>
          </cell>
          <cell r="D6">
            <v>2</v>
          </cell>
          <cell r="E6" t="str">
            <v>Pcs</v>
          </cell>
          <cell r="F6" t="str">
            <v>000000000028605</v>
          </cell>
        </row>
        <row r="7">
          <cell r="A7" t="str">
            <v>SBM-003-018-0000053</v>
          </cell>
          <cell r="B7" t="str">
            <v>FLOW LIMITER NOZZLE 24-0455-2582 (0.9MM)</v>
          </cell>
          <cell r="C7" t="str">
            <v>PT. Kiso-Seiko Indonesia</v>
          </cell>
          <cell r="D7">
            <v>1</v>
          </cell>
          <cell r="E7" t="str">
            <v>Pcs</v>
          </cell>
          <cell r="F7" t="str">
            <v>000000000028605</v>
          </cell>
        </row>
        <row r="8">
          <cell r="A8" t="str">
            <v>SBM-003-012-0000698</v>
          </cell>
          <cell r="B8" t="str">
            <v>THT SPRING TR TR26X110</v>
          </cell>
          <cell r="C8" t="str">
            <v>PT. Misumi Indonesia</v>
          </cell>
          <cell r="D8">
            <v>25</v>
          </cell>
          <cell r="E8" t="str">
            <v>Pcs</v>
          </cell>
          <cell r="F8" t="str">
            <v>000000000029044</v>
          </cell>
        </row>
        <row r="9">
          <cell r="A9" t="str">
            <v>SBM-003-018-0000053</v>
          </cell>
          <cell r="B9" t="str">
            <v>FLOW LIMITER NOZZLE 24-0455-2582 (0.9MM)</v>
          </cell>
          <cell r="C9" t="str">
            <v>PT. Kiso-Seiko Indonesia</v>
          </cell>
          <cell r="D9">
            <v>1</v>
          </cell>
          <cell r="E9" t="str">
            <v>Pcs</v>
          </cell>
          <cell r="F9" t="str">
            <v>000000000029583</v>
          </cell>
        </row>
        <row r="10">
          <cell r="A10" t="str">
            <v>SBM-010-001-0001158</v>
          </cell>
          <cell r="B10" t="str">
            <v>QR CODE NAME PLATE</v>
          </cell>
          <cell r="C10" t="str">
            <v>PT. Shimatek Shoji Indonesia</v>
          </cell>
          <cell r="D10">
            <v>172</v>
          </cell>
          <cell r="E10" t="str">
            <v>PCS</v>
          </cell>
          <cell r="F10" t="str">
            <v>000000000029654</v>
          </cell>
        </row>
        <row r="11">
          <cell r="A11" t="str">
            <v>SBM-003-103-0000001</v>
          </cell>
          <cell r="B11" t="str">
            <v>DISK SPRING SRBN40-B</v>
          </cell>
          <cell r="C11" t="str">
            <v>PT. Misumi Indonesia</v>
          </cell>
          <cell r="D11">
            <v>30</v>
          </cell>
          <cell r="E11" t="str">
            <v>Pcs</v>
          </cell>
          <cell r="F11" t="str">
            <v>000000000029671</v>
          </cell>
        </row>
        <row r="12">
          <cell r="A12" t="str">
            <v>SBM-003-010-0000167</v>
          </cell>
          <cell r="B12" t="str">
            <v>SWU31-140 COIL SPRING</v>
          </cell>
          <cell r="C12" t="str">
            <v>PT. Misumi Indonesia</v>
          </cell>
          <cell r="D12">
            <v>50</v>
          </cell>
          <cell r="E12" t="str">
            <v>Pcs</v>
          </cell>
          <cell r="F12" t="str">
            <v>000000000029875</v>
          </cell>
        </row>
        <row r="13">
          <cell r="A13" t="str">
            <v>SBM-004-031-0000027</v>
          </cell>
          <cell r="B13" t="str">
            <v>NS-1401 P24 Oil Seal</v>
          </cell>
          <cell r="C13" t="str">
            <v>PT. Kiso-Seiko Indonesia</v>
          </cell>
          <cell r="D13">
            <v>1</v>
          </cell>
          <cell r="E13" t="str">
            <v>Set</v>
          </cell>
          <cell r="F13" t="str">
            <v>000000000030199</v>
          </cell>
        </row>
        <row r="14">
          <cell r="A14" t="str">
            <v>SBM-007-001-0006854</v>
          </cell>
          <cell r="B14" t="str">
            <v>SERVICE CHARGE REPLACEMENT OF SPINDLE UN</v>
          </cell>
          <cell r="C14" t="str">
            <v>PT. Isotema</v>
          </cell>
          <cell r="D14">
            <v>1</v>
          </cell>
          <cell r="E14" t="str">
            <v>Lot</v>
          </cell>
          <cell r="F14" t="str">
            <v>000000000030735</v>
          </cell>
        </row>
        <row r="15">
          <cell r="A15" t="str">
            <v>SBM-007-001-0006853</v>
          </cell>
          <cell r="B15" t="str">
            <v>SERVICE CHARGE REPLACEMENT OF Z AXIS BAL</v>
          </cell>
          <cell r="C15" t="str">
            <v>PT. Isotema</v>
          </cell>
          <cell r="D15">
            <v>1</v>
          </cell>
          <cell r="E15" t="str">
            <v>Lot</v>
          </cell>
          <cell r="F15" t="str">
            <v>000000000030736</v>
          </cell>
        </row>
        <row r="16">
          <cell r="A16" t="str">
            <v>SBM-003-001-0000855</v>
          </cell>
          <cell r="B16" t="str">
            <v>NOZZLE PARTS FOR POWERMAX 30XP</v>
          </cell>
          <cell r="C16" t="str">
            <v>PT. Himalaya Everest Jaya</v>
          </cell>
          <cell r="D16">
            <v>1</v>
          </cell>
          <cell r="E16" t="str">
            <v>Pcs</v>
          </cell>
          <cell r="F16" t="str">
            <v>000000000030863</v>
          </cell>
        </row>
        <row r="17">
          <cell r="A17" t="str">
            <v>SBM-003-001-0000856</v>
          </cell>
          <cell r="B17" t="str">
            <v>ELECTRODE PARTS FOR POWERMAX 30XP</v>
          </cell>
          <cell r="C17" t="str">
            <v>PT. Himalaya Everest Jaya</v>
          </cell>
          <cell r="D17">
            <v>1</v>
          </cell>
          <cell r="E17" t="str">
            <v>Pcs</v>
          </cell>
          <cell r="F17" t="str">
            <v>000000000030863</v>
          </cell>
        </row>
        <row r="18">
          <cell r="A18" t="str">
            <v>SBM-003-001-0000857</v>
          </cell>
          <cell r="B18" t="str">
            <v>SHIELD PARTS FOR POWERMAX 30XP</v>
          </cell>
          <cell r="C18" t="str">
            <v>PT. Himalaya Everest Jaya</v>
          </cell>
          <cell r="D18">
            <v>1</v>
          </cell>
          <cell r="E18" t="str">
            <v>Pcs</v>
          </cell>
          <cell r="F18" t="str">
            <v>000000000030863</v>
          </cell>
        </row>
        <row r="19">
          <cell r="A19" t="str">
            <v>SBM-003-012-0000776</v>
          </cell>
          <cell r="B19" t="str">
            <v>CSHBTT-ST-M12-40 SA11 FASTENING</v>
          </cell>
          <cell r="C19" t="str">
            <v>PT. Misumi Indonesia</v>
          </cell>
          <cell r="D19">
            <v>7</v>
          </cell>
          <cell r="E19" t="str">
            <v>PCS</v>
          </cell>
          <cell r="F19" t="str">
            <v>000000000030971</v>
          </cell>
        </row>
        <row r="20">
          <cell r="A20" t="str">
            <v>SBM-003-012-0000613</v>
          </cell>
          <cell r="B20" t="str">
            <v>COIL SPRING SWR17-55</v>
          </cell>
          <cell r="C20" t="str">
            <v>PT. Misumi Indonesia</v>
          </cell>
          <cell r="D20">
            <v>20</v>
          </cell>
          <cell r="E20" t="str">
            <v>Pcs</v>
          </cell>
          <cell r="F20" t="str">
            <v>000000000031190</v>
          </cell>
        </row>
        <row r="21">
          <cell r="A21" t="str">
            <v>SBM-003-012-0000613</v>
          </cell>
          <cell r="B21" t="str">
            <v>COIL SPRING SWR17-55</v>
          </cell>
          <cell r="C21" t="str">
            <v>PT. Misumi Indonesia</v>
          </cell>
          <cell r="D21">
            <v>5</v>
          </cell>
          <cell r="E21" t="str">
            <v>Pcs</v>
          </cell>
          <cell r="F21" t="str">
            <v>000000000031190</v>
          </cell>
        </row>
        <row r="22">
          <cell r="A22" t="str">
            <v>SBM-004-001-0000466</v>
          </cell>
          <cell r="B22" t="str">
            <v>SUMITOMO CPMT 090304N-MU- 4C820P</v>
          </cell>
          <cell r="C22" t="str">
            <v>PT. Yamazen Indonesia</v>
          </cell>
          <cell r="D22">
            <v>5</v>
          </cell>
          <cell r="E22" t="str">
            <v>Pcs</v>
          </cell>
          <cell r="F22" t="str">
            <v>000000000031624</v>
          </cell>
        </row>
        <row r="23">
          <cell r="A23" t="str">
            <v>SBM-003-001-0002387</v>
          </cell>
          <cell r="B23" t="str">
            <v>K-55079 SCALE OFF CHANEL BRASH L=400</v>
          </cell>
          <cell r="C23" t="str">
            <v>PT. Kiso-Seiko Indonesia</v>
          </cell>
          <cell r="D23">
            <v>10</v>
          </cell>
          <cell r="E23" t="str">
            <v>PCS</v>
          </cell>
          <cell r="F23" t="str">
            <v>000000000031957</v>
          </cell>
        </row>
        <row r="24">
          <cell r="A24" t="str">
            <v>SBM-010-001-0001079</v>
          </cell>
          <cell r="B24" t="str">
            <v>NAME CARD EMPLOYEE (NEWTOP MATERIAL)</v>
          </cell>
          <cell r="C24" t="str">
            <v>Cipta Grafika</v>
          </cell>
          <cell r="D24">
            <v>1</v>
          </cell>
          <cell r="E24" t="str">
            <v>PAK</v>
          </cell>
          <cell r="F24" t="str">
            <v>000000000031961</v>
          </cell>
        </row>
        <row r="25">
          <cell r="A25" t="str">
            <v>SBM-010-001-0000292</v>
          </cell>
          <cell r="B25" t="str">
            <v>ID CARD + YOYO</v>
          </cell>
          <cell r="C25" t="str">
            <v>Cipta Grafika</v>
          </cell>
          <cell r="D25">
            <v>3</v>
          </cell>
          <cell r="E25" t="str">
            <v>Pcs</v>
          </cell>
          <cell r="F25" t="str">
            <v>000000000031961</v>
          </cell>
        </row>
        <row r="26">
          <cell r="A26" t="str">
            <v>SBM-010-001-0000249</v>
          </cell>
          <cell r="B26" t="str">
            <v>STAMPEL OTOMATIS</v>
          </cell>
          <cell r="C26" t="str">
            <v>Cipta Grafika</v>
          </cell>
          <cell r="D26">
            <v>5</v>
          </cell>
          <cell r="E26" t="str">
            <v>Pcs</v>
          </cell>
          <cell r="F26" t="str">
            <v>000000000031961</v>
          </cell>
        </row>
        <row r="27">
          <cell r="A27" t="str">
            <v>SBM-009-002-0000024</v>
          </cell>
          <cell r="B27" t="str">
            <v>UNIFORM NEW MODEL 2019</v>
          </cell>
          <cell r="C27" t="str">
            <v>PT. Megah Sukses Trading</v>
          </cell>
          <cell r="D27">
            <v>30</v>
          </cell>
          <cell r="E27" t="str">
            <v>Pcs</v>
          </cell>
          <cell r="F27" t="str">
            <v>000000000031978</v>
          </cell>
        </row>
        <row r="28">
          <cell r="A28" t="str">
            <v>SBM-007-007-0000023</v>
          </cell>
          <cell r="B28" t="str">
            <v>SEWA DISPENSER HOT &amp; COLD</v>
          </cell>
          <cell r="C28" t="str">
            <v>PT. OASIS WATERS INTERNATIONAL</v>
          </cell>
          <cell r="D28">
            <v>3</v>
          </cell>
          <cell r="E28" t="str">
            <v>Unit</v>
          </cell>
          <cell r="F28" t="str">
            <v>000000000032003</v>
          </cell>
        </row>
        <row r="29">
          <cell r="A29" t="str">
            <v>SBM-003-001-0000855</v>
          </cell>
          <cell r="B29" t="str">
            <v>NOZZLE PARTS FOR POWERMAX 30XP</v>
          </cell>
          <cell r="C29" t="str">
            <v>PT. Himalaya Everest Jaya</v>
          </cell>
          <cell r="D29">
            <v>1</v>
          </cell>
          <cell r="E29" t="str">
            <v>Pcs</v>
          </cell>
          <cell r="F29" t="str">
            <v>000000000032050</v>
          </cell>
        </row>
        <row r="30">
          <cell r="A30" t="str">
            <v>SBM-003-001-0000856</v>
          </cell>
          <cell r="B30" t="str">
            <v>ELECTRODE PARTS FOR POWERMAX 30XP</v>
          </cell>
          <cell r="C30" t="str">
            <v>PT. Himalaya Everest Jaya</v>
          </cell>
          <cell r="D30">
            <v>1</v>
          </cell>
          <cell r="E30" t="str">
            <v>Pcs</v>
          </cell>
          <cell r="F30" t="str">
            <v>000000000032050</v>
          </cell>
        </row>
        <row r="31">
          <cell r="A31" t="str">
            <v>SBM-003-001-0000857</v>
          </cell>
          <cell r="B31" t="str">
            <v>SHIELD PARTS FOR POWERMAX 30XP</v>
          </cell>
          <cell r="C31" t="str">
            <v>PT. Himalaya Everest Jaya</v>
          </cell>
          <cell r="D31">
            <v>1</v>
          </cell>
          <cell r="E31" t="str">
            <v>Pcs</v>
          </cell>
          <cell r="F31" t="str">
            <v>000000000032050</v>
          </cell>
        </row>
        <row r="32">
          <cell r="A32" t="str">
            <v>SBM-003-001-0000889</v>
          </cell>
          <cell r="B32" t="str">
            <v>TAPERED ROLLER BEARING 46CEE75229YR1</v>
          </cell>
          <cell r="C32" t="str">
            <v>Sumitomo Heavy Industries, Ltd</v>
          </cell>
          <cell r="D32">
            <v>1</v>
          </cell>
          <cell r="E32" t="str">
            <v>Set</v>
          </cell>
          <cell r="F32" t="str">
            <v>000000000032193</v>
          </cell>
        </row>
        <row r="33">
          <cell r="A33" t="str">
            <v>SBM-003-001-0000343</v>
          </cell>
          <cell r="B33" t="str">
            <v>PACKING, SHIPPING COST</v>
          </cell>
          <cell r="C33" t="str">
            <v>Sumitomo Heavy Industries, Ltd</v>
          </cell>
          <cell r="D33">
            <v>1</v>
          </cell>
          <cell r="E33" t="str">
            <v>Lot</v>
          </cell>
          <cell r="F33" t="str">
            <v>000000000032194</v>
          </cell>
        </row>
        <row r="34">
          <cell r="A34" t="str">
            <v>SBM-004-091-0000008</v>
          </cell>
          <cell r="B34" t="str">
            <v>PVC HIJAU 270X3590 MM</v>
          </cell>
          <cell r="C34" t="str">
            <v>PT. Central Belt Jaya</v>
          </cell>
          <cell r="D34">
            <v>1</v>
          </cell>
          <cell r="E34" t="str">
            <v>Set</v>
          </cell>
          <cell r="F34" t="str">
            <v>000000000032379</v>
          </cell>
        </row>
        <row r="35">
          <cell r="A35" t="str">
            <v>SBM-004-051-0000032</v>
          </cell>
          <cell r="B35" t="str">
            <v>SUMITOMO RNYM1-1420-15 : MOTOR 1.5KW/4</v>
          </cell>
          <cell r="C35" t="str">
            <v>PT. Wahana Karya Solusi</v>
          </cell>
          <cell r="D35">
            <v>1</v>
          </cell>
          <cell r="E35" t="str">
            <v>Unit</v>
          </cell>
          <cell r="F35" t="str">
            <v>000000000032474</v>
          </cell>
        </row>
        <row r="36">
          <cell r="A36" t="str">
            <v>SBM-010-009-0000011</v>
          </cell>
          <cell r="B36" t="str">
            <v>SABUN PEMBERSIH LANTAI 5 LITER (HOME IND</v>
          </cell>
          <cell r="C36" t="str">
            <v>CV YASUKATA</v>
          </cell>
          <cell r="D36">
            <v>15</v>
          </cell>
          <cell r="E36" t="str">
            <v>PCS</v>
          </cell>
          <cell r="F36" t="str">
            <v>000000000032727</v>
          </cell>
        </row>
        <row r="37">
          <cell r="A37" t="str">
            <v>SBM-007-001-0005560</v>
          </cell>
          <cell r="B37" t="str">
            <v>SEWA APEOS C2060 CPS</v>
          </cell>
          <cell r="C37" t="str">
            <v>PT. Astra Graphia Tbk.</v>
          </cell>
          <cell r="D37">
            <v>1</v>
          </cell>
          <cell r="E37" t="str">
            <v>Unit</v>
          </cell>
          <cell r="F37" t="str">
            <v>000000000032733</v>
          </cell>
        </row>
        <row r="38">
          <cell r="A38" t="str">
            <v>SBM-003-001-0000580</v>
          </cell>
          <cell r="B38" t="str">
            <v>PART CONNECTOR FOR ARGON REGULATOR</v>
          </cell>
          <cell r="C38" t="str">
            <v>PT. Iwatani Industrial Gas</v>
          </cell>
          <cell r="D38">
            <v>3</v>
          </cell>
          <cell r="E38" t="str">
            <v>Pcs</v>
          </cell>
          <cell r="F38" t="str">
            <v>000000000032797</v>
          </cell>
        </row>
        <row r="39">
          <cell r="A39" t="str">
            <v>SBM-001-003-0000004</v>
          </cell>
          <cell r="B39" t="str">
            <v>BESTCHEM DWF A18 ANTI RUST</v>
          </cell>
          <cell r="C39" t="str">
            <v>PT. Pelangi Lumasindo Sukses</v>
          </cell>
          <cell r="D39">
            <v>1600</v>
          </cell>
          <cell r="E39" t="str">
            <v>Liter</v>
          </cell>
          <cell r="F39" t="str">
            <v>000000000032820</v>
          </cell>
        </row>
        <row r="40">
          <cell r="A40" t="str">
            <v>SBM-004-114-0000011</v>
          </cell>
          <cell r="B40" t="str">
            <v>RELAY MY2-GS DC12 BY OMZ</v>
          </cell>
          <cell r="C40" t="str">
            <v>PT SUHO ABADI TEKNIK</v>
          </cell>
          <cell r="D40">
            <v>2</v>
          </cell>
          <cell r="E40" t="str">
            <v>Pcs</v>
          </cell>
          <cell r="F40" t="str">
            <v>000000000032848</v>
          </cell>
        </row>
        <row r="41">
          <cell r="A41" t="str">
            <v>SBM-007-001-0007374</v>
          </cell>
          <cell r="B41" t="str">
            <v>IATF 16949:2016 INTERNAL AUDITOR TRAININ</v>
          </cell>
          <cell r="C41" t="str">
            <v>PT BSI GROUP INDONESIA</v>
          </cell>
          <cell r="D41">
            <v>1</v>
          </cell>
          <cell r="E41" t="str">
            <v>Lot</v>
          </cell>
          <cell r="F41" t="str">
            <v>000000000032889</v>
          </cell>
        </row>
        <row r="42">
          <cell r="A42" t="str">
            <v>SBM-003-012-0000702</v>
          </cell>
          <cell r="B42" t="str">
            <v>PRESS SPRING OD72.5-WD5.5-L140</v>
          </cell>
          <cell r="C42" t="str">
            <v>PT. Misumi Indonesia</v>
          </cell>
          <cell r="D42">
            <v>7</v>
          </cell>
          <cell r="E42" t="str">
            <v>Pcs</v>
          </cell>
          <cell r="F42" t="str">
            <v>000000000032955</v>
          </cell>
        </row>
        <row r="43">
          <cell r="A43" t="str">
            <v>SBM-003-010-0000191</v>
          </cell>
          <cell r="B43" t="str">
            <v>PRPRESS SPRING OD84.5-WD5.5-L120</v>
          </cell>
          <cell r="C43" t="str">
            <v>PT. Misumi Indonesia</v>
          </cell>
          <cell r="D43">
            <v>4</v>
          </cell>
          <cell r="E43" t="str">
            <v>Pcs</v>
          </cell>
          <cell r="F43" t="str">
            <v>000000000032955</v>
          </cell>
        </row>
        <row r="44">
          <cell r="A44" t="str">
            <v>SBM-003-012-0000703</v>
          </cell>
          <cell r="B44" t="str">
            <v>PRESS SPRING OD72.5-WD5.5-L110</v>
          </cell>
          <cell r="C44" t="str">
            <v>PT. Misumi Indonesia</v>
          </cell>
          <cell r="D44">
            <v>9</v>
          </cell>
          <cell r="E44" t="str">
            <v>Pcs</v>
          </cell>
          <cell r="F44" t="str">
            <v>000000000032955</v>
          </cell>
        </row>
        <row r="45">
          <cell r="A45" t="str">
            <v>SBM-001-003-0000004</v>
          </cell>
          <cell r="B45" t="str">
            <v>BESTCHEM DWF A18 ANTI RUST</v>
          </cell>
          <cell r="C45" t="str">
            <v>PT. Pelangi Lumasindo Sukses</v>
          </cell>
          <cell r="D45">
            <v>100</v>
          </cell>
          <cell r="E45" t="str">
            <v>Liter</v>
          </cell>
          <cell r="F45" t="str">
            <v>000000000032959</v>
          </cell>
        </row>
        <row r="46">
          <cell r="A46" t="str">
            <v>SBM-005-008-0000129</v>
          </cell>
          <cell r="B46" t="str">
            <v>DIGITAL CALIPER 0 MM - 450 MM</v>
          </cell>
          <cell r="C46" t="str">
            <v>PT. Sentral Tehnologi Management</v>
          </cell>
          <cell r="D46">
            <v>1</v>
          </cell>
          <cell r="E46" t="str">
            <v>PCS</v>
          </cell>
          <cell r="F46" t="str">
            <v>000000000033002</v>
          </cell>
        </row>
        <row r="47">
          <cell r="A47" t="str">
            <v>SBM-010-001-0000339</v>
          </cell>
          <cell r="B47" t="str">
            <v>STAMP TRODAT</v>
          </cell>
          <cell r="C47" t="str">
            <v>Cipta Grafika</v>
          </cell>
          <cell r="D47">
            <v>5</v>
          </cell>
          <cell r="E47" t="str">
            <v>Pcs</v>
          </cell>
          <cell r="F47" t="str">
            <v>000000000033022</v>
          </cell>
        </row>
        <row r="48">
          <cell r="A48" t="str">
            <v>SBM-007-001-0005560</v>
          </cell>
          <cell r="B48" t="str">
            <v>SEWA APEOS C2060 CPS</v>
          </cell>
          <cell r="C48" t="str">
            <v>PT. Astra Graphia Tbk.</v>
          </cell>
          <cell r="D48">
            <v>5</v>
          </cell>
          <cell r="E48" t="str">
            <v>Unit</v>
          </cell>
          <cell r="F48" t="str">
            <v>000000000033027</v>
          </cell>
        </row>
        <row r="49">
          <cell r="A49" t="str">
            <v>SBM-007-007-0000023</v>
          </cell>
          <cell r="B49" t="str">
            <v>SEWA DISPENSER HOT &amp; COLD</v>
          </cell>
          <cell r="C49" t="str">
            <v>PT. OASIS WATERS INTERNATIONAL</v>
          </cell>
          <cell r="D49">
            <v>26</v>
          </cell>
          <cell r="E49" t="str">
            <v>Unit</v>
          </cell>
          <cell r="F49" t="str">
            <v>000000000033043</v>
          </cell>
        </row>
        <row r="50">
          <cell r="A50" t="str">
            <v>SBM-003-001-0000210</v>
          </cell>
          <cell r="B50" t="str">
            <v>SEAL TAPE</v>
          </cell>
          <cell r="C50" t="str">
            <v>CV. Mitra Multi Sarana</v>
          </cell>
          <cell r="D50">
            <v>1</v>
          </cell>
          <cell r="E50" t="str">
            <v>Pcs</v>
          </cell>
          <cell r="F50" t="str">
            <v>000000000033080</v>
          </cell>
        </row>
        <row r="51">
          <cell r="A51" t="str">
            <v>SBM-010-001-0000044</v>
          </cell>
          <cell r="B51" t="str">
            <v>FLOOR MARKING ZEBRA</v>
          </cell>
          <cell r="C51" t="str">
            <v>CV. Wahana Distribusindo Indonesia</v>
          </cell>
          <cell r="D51">
            <v>10</v>
          </cell>
          <cell r="E51" t="str">
            <v>Pcs</v>
          </cell>
          <cell r="F51" t="str">
            <v>000000000033325</v>
          </cell>
        </row>
        <row r="52">
          <cell r="A52" t="str">
            <v>SBM-009-015-0000001</v>
          </cell>
          <cell r="B52" t="str">
            <v>ROMPI MODEL V</v>
          </cell>
          <cell r="C52" t="str">
            <v>PT. Dakara Citra Tangguh</v>
          </cell>
          <cell r="D52">
            <v>20</v>
          </cell>
          <cell r="E52" t="str">
            <v>Pcs</v>
          </cell>
          <cell r="F52" t="str">
            <v>000000000033341</v>
          </cell>
        </row>
        <row r="53">
          <cell r="A53" t="str">
            <v>SBM-007-001-0007503</v>
          </cell>
          <cell r="B53" t="str">
            <v>REPAIR + KALIBRASI CALIPER</v>
          </cell>
          <cell r="C53" t="str">
            <v>PT GLOBAL INSTRUMENT SERVICES</v>
          </cell>
          <cell r="D53">
            <v>1</v>
          </cell>
          <cell r="E53" t="str">
            <v>Lot</v>
          </cell>
          <cell r="F53" t="str">
            <v>000000000033343</v>
          </cell>
        </row>
        <row r="54">
          <cell r="A54" t="str">
            <v>SBM-003-034-0000176</v>
          </cell>
          <cell r="B54" t="str">
            <v>HOSE PA0306 MERK BRIDGESTONE</v>
          </cell>
          <cell r="C54" t="str">
            <v>PT. Sinar Abadi Multindo</v>
          </cell>
          <cell r="D54">
            <v>100</v>
          </cell>
          <cell r="E54" t="str">
            <v>M</v>
          </cell>
          <cell r="F54" t="str">
            <v>000000000033402</v>
          </cell>
        </row>
        <row r="55">
          <cell r="A55" t="str">
            <v>SBM-003-052-0000002</v>
          </cell>
          <cell r="B55" t="str">
            <v>CLAMP 19-25 HOSE DIPSORBIT UNTUK MATSUI</v>
          </cell>
          <cell r="C55" t="str">
            <v>PT. Sinar Abadi Multindo</v>
          </cell>
          <cell r="D55">
            <v>3</v>
          </cell>
          <cell r="E55" t="str">
            <v>Pcs</v>
          </cell>
          <cell r="F55" t="str">
            <v>000000000033402</v>
          </cell>
        </row>
        <row r="56">
          <cell r="A56" t="str">
            <v>SBM-007-001-0000759</v>
          </cell>
          <cell r="B56" t="str">
            <v>PREVENTIVE MAINTENANCE CRANE KAMIUCHI</v>
          </cell>
          <cell r="C56" t="str">
            <v>PT. Sentramas Bangun Makmurindo</v>
          </cell>
          <cell r="D56">
            <v>1</v>
          </cell>
          <cell r="E56" t="str">
            <v>year</v>
          </cell>
          <cell r="F56" t="str">
            <v>000000000033424</v>
          </cell>
        </row>
        <row r="57">
          <cell r="A57" t="str">
            <v>SBM-003-001-0000855</v>
          </cell>
          <cell r="B57" t="str">
            <v>NOZZLE PARTS FOR POWERMAX 30XP</v>
          </cell>
          <cell r="C57" t="str">
            <v>PT. Himalaya Everest Jaya</v>
          </cell>
          <cell r="D57">
            <v>1</v>
          </cell>
          <cell r="E57" t="str">
            <v>Pcs</v>
          </cell>
          <cell r="F57" t="str">
            <v>000000000033430</v>
          </cell>
        </row>
        <row r="58">
          <cell r="A58" t="str">
            <v>SBM-003-001-0000856</v>
          </cell>
          <cell r="B58" t="str">
            <v>ELECTRODE PARTS FOR POWERMAX 30XP</v>
          </cell>
          <cell r="C58" t="str">
            <v>PT. Himalaya Everest Jaya</v>
          </cell>
          <cell r="D58">
            <v>1</v>
          </cell>
          <cell r="E58" t="str">
            <v>Pcs</v>
          </cell>
          <cell r="F58" t="str">
            <v>000000000033430</v>
          </cell>
        </row>
        <row r="59">
          <cell r="A59" t="str">
            <v>SBM-003-001-0000857</v>
          </cell>
          <cell r="B59" t="str">
            <v>SHIELD PARTS FOR POWERMAX 30XP</v>
          </cell>
          <cell r="C59" t="str">
            <v>PT. Himalaya Everest Jaya</v>
          </cell>
          <cell r="D59">
            <v>1</v>
          </cell>
          <cell r="E59" t="str">
            <v>Pcs</v>
          </cell>
          <cell r="F59" t="str">
            <v>000000000033430</v>
          </cell>
        </row>
        <row r="60">
          <cell r="A60" t="str">
            <v>SBM-007-001-0007522</v>
          </cell>
          <cell r="B60" t="str">
            <v>ADDITIONAL CUSTOMIZATION SUPPORT (9 MAN-</v>
          </cell>
          <cell r="C60" t="str">
            <v>PT.TOYO BUSINESS ENGINEERING INDONESIA</v>
          </cell>
          <cell r="D60">
            <v>1</v>
          </cell>
          <cell r="E60" t="str">
            <v>Lot</v>
          </cell>
          <cell r="F60" t="str">
            <v>000000000033484</v>
          </cell>
        </row>
        <row r="61">
          <cell r="A61" t="str">
            <v>SBM-007-001-0007521</v>
          </cell>
          <cell r="B61" t="str">
            <v>DEVELOPMENT OF HANAFIRST (ICSPRO REPLACE</v>
          </cell>
          <cell r="C61" t="str">
            <v>PT.TOYO BUSINESS ENGINEERING INDONESIA</v>
          </cell>
          <cell r="D61">
            <v>1</v>
          </cell>
          <cell r="E61" t="str">
            <v>Lot</v>
          </cell>
          <cell r="F61" t="str">
            <v>000000000033484</v>
          </cell>
        </row>
        <row r="62">
          <cell r="A62" t="str">
            <v>SBM-007-001-0007520</v>
          </cell>
          <cell r="B62" t="str">
            <v>MCFRAMEGA VERSION UP SUPPORT (49 MAN-DAY</v>
          </cell>
          <cell r="C62" t="str">
            <v>PT.TOYO BUSINESS ENGINEERING INDONESIA</v>
          </cell>
          <cell r="D62">
            <v>1</v>
          </cell>
          <cell r="E62" t="str">
            <v>Lot</v>
          </cell>
          <cell r="F62" t="str">
            <v>000000000033484</v>
          </cell>
        </row>
        <row r="63">
          <cell r="A63" t="str">
            <v>SBM-008-036-0000002</v>
          </cell>
          <cell r="B63" t="str">
            <v>BOSELON 107 SQB 0,07X1150X850X880</v>
          </cell>
          <cell r="C63" t="str">
            <v>PT. ACBOS Indonesia</v>
          </cell>
          <cell r="D63">
            <v>2000</v>
          </cell>
          <cell r="E63" t="str">
            <v>Pcs</v>
          </cell>
          <cell r="F63" t="str">
            <v>000000000033534</v>
          </cell>
        </row>
        <row r="64">
          <cell r="A64" t="str">
            <v>SBM-003-091-0000059</v>
          </cell>
          <cell r="B64" t="str">
            <v>BOLT BE D0182B  A-13606460</v>
          </cell>
          <cell r="C64" t="str">
            <v>PT. Multiple Varindo</v>
          </cell>
          <cell r="D64">
            <v>6</v>
          </cell>
          <cell r="E64" t="str">
            <v>Pcs</v>
          </cell>
          <cell r="F64" t="str">
            <v>000000000033600</v>
          </cell>
        </row>
        <row r="65">
          <cell r="A65" t="str">
            <v>SBM-003-099-0000025</v>
          </cell>
          <cell r="B65" t="str">
            <v>NUT WZ8 0234A</v>
          </cell>
          <cell r="C65" t="str">
            <v>PT. Multiple Varindo</v>
          </cell>
          <cell r="D65">
            <v>2</v>
          </cell>
          <cell r="E65" t="str">
            <v>Pcs</v>
          </cell>
          <cell r="F65" t="str">
            <v>000000000033600</v>
          </cell>
        </row>
        <row r="66">
          <cell r="A66" t="str">
            <v>SBM-003-154-00000010</v>
          </cell>
          <cell r="B66" t="str">
            <v>PROJECTION LINER 3B7520B2027</v>
          </cell>
          <cell r="C66" t="str">
            <v>PT. Multiple Varindo</v>
          </cell>
          <cell r="D66">
            <v>1</v>
          </cell>
          <cell r="E66" t="str">
            <v>Pcs</v>
          </cell>
          <cell r="F66" t="str">
            <v>000000000033600</v>
          </cell>
        </row>
        <row r="67">
          <cell r="A67" t="str">
            <v>SBM-003-001-0000228</v>
          </cell>
          <cell r="B67" t="str">
            <v>CLAMP RING 13-20</v>
          </cell>
          <cell r="C67" t="str">
            <v>PT. Sinar Abadi Multindo</v>
          </cell>
          <cell r="D67">
            <v>50</v>
          </cell>
          <cell r="E67" t="str">
            <v>Pcs</v>
          </cell>
          <cell r="F67" t="str">
            <v>000000000033602</v>
          </cell>
        </row>
        <row r="68">
          <cell r="A68" t="str">
            <v>SBM-007-001-0006717</v>
          </cell>
          <cell r="B68" t="str">
            <v>SUBSCRIPTION FEE TALENTA PLUS PRO</v>
          </cell>
          <cell r="C68" t="str">
            <v>PT MID SOLUSI NUSANTARA</v>
          </cell>
          <cell r="D68">
            <v>1236</v>
          </cell>
          <cell r="E68" t="str">
            <v>Unit</v>
          </cell>
          <cell r="F68" t="str">
            <v>000000000033662</v>
          </cell>
        </row>
        <row r="69">
          <cell r="A69" t="str">
            <v>SBM-003-012-0000593</v>
          </cell>
          <cell r="B69" t="str">
            <v>WIRE SPRING WY16-55</v>
          </cell>
          <cell r="C69" t="str">
            <v>PT. Misumi Indonesia</v>
          </cell>
          <cell r="D69">
            <v>22</v>
          </cell>
          <cell r="E69" t="str">
            <v>Pcs</v>
          </cell>
          <cell r="F69" t="str">
            <v>000000000033773</v>
          </cell>
        </row>
        <row r="70">
          <cell r="A70" t="str">
            <v>SBM-003-001-0003214</v>
          </cell>
          <cell r="B70" t="str">
            <v>DN FEMALE 1/4" MALE 1/4" SS</v>
          </cell>
          <cell r="C70" t="str">
            <v>PT. Sinar Abadi Multindo</v>
          </cell>
          <cell r="D70">
            <v>10</v>
          </cell>
          <cell r="E70" t="str">
            <v>PCS</v>
          </cell>
          <cell r="F70" t="str">
            <v>000000000033776</v>
          </cell>
        </row>
        <row r="71">
          <cell r="A71" t="str">
            <v>SBM-003-001-0003216</v>
          </cell>
          <cell r="B71" t="str">
            <v>CUTOM DUDUKAN DUCTING</v>
          </cell>
          <cell r="C71" t="str">
            <v>PT. Sinar Abadi Multindo</v>
          </cell>
          <cell r="D71">
            <v>1</v>
          </cell>
          <cell r="E71" t="str">
            <v>PCS</v>
          </cell>
          <cell r="F71" t="str">
            <v>000000000033776</v>
          </cell>
        </row>
        <row r="72">
          <cell r="A72" t="str">
            <v>SBM-004-001-0000039</v>
          </cell>
          <cell r="B72" t="str">
            <v>SANDVIK/880-0704W06H-P-GM 4344</v>
          </cell>
          <cell r="C72" t="str">
            <v>PT. Sandvik Indonesia</v>
          </cell>
          <cell r="D72">
            <v>10</v>
          </cell>
          <cell r="E72" t="str">
            <v>PCS</v>
          </cell>
          <cell r="F72" t="str">
            <v>000000000033780</v>
          </cell>
        </row>
        <row r="73">
          <cell r="A73" t="str">
            <v>SBM-010-001-0000369</v>
          </cell>
          <cell r="B73" t="str">
            <v>AMPLOP JAYA METALART</v>
          </cell>
          <cell r="C73" t="str">
            <v>Cipta Grafika</v>
          </cell>
          <cell r="D73">
            <v>10</v>
          </cell>
          <cell r="E73" t="str">
            <v>PAK</v>
          </cell>
          <cell r="F73" t="str">
            <v>000000000033792</v>
          </cell>
        </row>
        <row r="74">
          <cell r="A74" t="str">
            <v>SBM-010-001-0000777</v>
          </cell>
          <cell r="B74" t="str">
            <v>KERTAS A4 MEREK COPY PAPER 70 GRAM</v>
          </cell>
          <cell r="C74" t="str">
            <v>CV. Mitra Sejati</v>
          </cell>
          <cell r="D74">
            <v>40</v>
          </cell>
          <cell r="E74" t="str">
            <v>Rim</v>
          </cell>
          <cell r="F74" t="str">
            <v>000000000033793</v>
          </cell>
        </row>
        <row r="75">
          <cell r="A75" t="str">
            <v>SBM-007-001-0007594</v>
          </cell>
          <cell r="B75" t="str">
            <v>CONSULTATION &amp; ACCOMPANIMENT ON AOUTHORI</v>
          </cell>
          <cell r="C75" t="str">
            <v>ICA CONSULTING</v>
          </cell>
          <cell r="D75">
            <v>1</v>
          </cell>
          <cell r="E75" t="str">
            <v>Set</v>
          </cell>
          <cell r="F75" t="str">
            <v>000000000033829</v>
          </cell>
        </row>
        <row r="76">
          <cell r="A76" t="str">
            <v>SBM-004-009-0000020</v>
          </cell>
          <cell r="B76" t="str">
            <v>CHAIN RS80-LMC-8L98LWK2</v>
          </cell>
          <cell r="C76" t="str">
            <v>PT TSUBAKI INDONESIA MANUFACTURING</v>
          </cell>
          <cell r="D76">
            <v>212</v>
          </cell>
          <cell r="E76" t="str">
            <v>LKS</v>
          </cell>
          <cell r="F76" t="str">
            <v>000000000033834</v>
          </cell>
        </row>
        <row r="77">
          <cell r="A77" t="str">
            <v>SBM-009-021-0000003</v>
          </cell>
          <cell r="B77" t="str">
            <v>ROMPI ORANGE (EVACUATOR)</v>
          </cell>
          <cell r="C77" t="str">
            <v>PT. Amco Multitech</v>
          </cell>
          <cell r="D77">
            <v>5</v>
          </cell>
          <cell r="E77" t="str">
            <v>Pcs</v>
          </cell>
          <cell r="F77" t="str">
            <v>000000000033854</v>
          </cell>
        </row>
        <row r="78">
          <cell r="A78" t="str">
            <v>SBM-009-021-0000004</v>
          </cell>
          <cell r="B78" t="str">
            <v>ROMPI YELLOW (ERT)</v>
          </cell>
          <cell r="C78" t="str">
            <v>PT. Amco Multitech</v>
          </cell>
          <cell r="D78">
            <v>5</v>
          </cell>
          <cell r="E78" t="str">
            <v>Pcs</v>
          </cell>
          <cell r="F78" t="str">
            <v>000000000033854</v>
          </cell>
        </row>
        <row r="79">
          <cell r="A79" t="str">
            <v>SBM-009-021-0000005</v>
          </cell>
          <cell r="B79" t="str">
            <v>ROMPI BLUE (FIRST AIDER)</v>
          </cell>
          <cell r="C79" t="str">
            <v>PT. Amco Multitech</v>
          </cell>
          <cell r="D79">
            <v>5</v>
          </cell>
          <cell r="E79" t="str">
            <v>Pcs</v>
          </cell>
          <cell r="F79" t="str">
            <v>000000000033854</v>
          </cell>
        </row>
        <row r="80">
          <cell r="A80" t="str">
            <v>SBM-009-021-0000006</v>
          </cell>
          <cell r="B80" t="str">
            <v>ROMPI RED (FIRE FIGHTER)</v>
          </cell>
          <cell r="C80" t="str">
            <v>PT. Amco Multitech</v>
          </cell>
          <cell r="D80">
            <v>10</v>
          </cell>
          <cell r="E80" t="str">
            <v>Pcs</v>
          </cell>
          <cell r="F80" t="str">
            <v>000000000033854</v>
          </cell>
        </row>
        <row r="81">
          <cell r="A81" t="str">
            <v>SBM-004-014-0000018</v>
          </cell>
          <cell r="B81" t="str">
            <v>VXZ240FGXCC DIRECTIONAL VALVE</v>
          </cell>
          <cell r="C81" t="str">
            <v>PT. SMC Automation Indonesia</v>
          </cell>
          <cell r="D81">
            <v>2</v>
          </cell>
          <cell r="E81" t="str">
            <v>Pcs</v>
          </cell>
          <cell r="F81" t="str">
            <v>000000000033976</v>
          </cell>
        </row>
        <row r="82">
          <cell r="A82" t="str">
            <v>SBM-003-121-00000001</v>
          </cell>
          <cell r="B82" t="str">
            <v>AIR GRIPPER MHS2-63D-X4</v>
          </cell>
          <cell r="C82" t="str">
            <v>PT. SMC Automation Indonesia</v>
          </cell>
          <cell r="D82">
            <v>2</v>
          </cell>
          <cell r="E82" t="str">
            <v>EA</v>
          </cell>
          <cell r="F82" t="str">
            <v>000000000033976</v>
          </cell>
        </row>
        <row r="83">
          <cell r="A83" t="str">
            <v>SBM-004-015-0000014</v>
          </cell>
          <cell r="B83" t="str">
            <v>AIR CYLINDER MGPM63-100Z-M9BWL</v>
          </cell>
          <cell r="C83" t="str">
            <v>PT. SMC Automation Indonesia</v>
          </cell>
          <cell r="D83">
            <v>2</v>
          </cell>
          <cell r="E83" t="str">
            <v>Pcs</v>
          </cell>
          <cell r="F83" t="str">
            <v>000000000033976</v>
          </cell>
        </row>
        <row r="84">
          <cell r="A84" t="str">
            <v>SBM-004-109-0000008</v>
          </cell>
          <cell r="B84" t="str">
            <v>SILENCER AN15-02</v>
          </cell>
          <cell r="C84" t="str">
            <v>PT. SMC Automation Indonesia</v>
          </cell>
          <cell r="D84">
            <v>2</v>
          </cell>
          <cell r="E84" t="str">
            <v>Pcs</v>
          </cell>
          <cell r="F84" t="str">
            <v>000000000033976</v>
          </cell>
        </row>
        <row r="85">
          <cell r="A85" t="str">
            <v>SBM-004-014-0000100</v>
          </cell>
          <cell r="B85" t="str">
            <v>SELENOID VALVE VFR3140-5DZ-02</v>
          </cell>
          <cell r="C85" t="str">
            <v>PT. SMC Automation Indonesia</v>
          </cell>
          <cell r="D85">
            <v>1</v>
          </cell>
          <cell r="E85" t="str">
            <v>Pcs</v>
          </cell>
          <cell r="F85" t="str">
            <v>000000000033976</v>
          </cell>
        </row>
        <row r="86">
          <cell r="A86" t="str">
            <v>SBM-004-027-0000064</v>
          </cell>
          <cell r="B86" t="str">
            <v>FITTING KSL08-02S</v>
          </cell>
          <cell r="C86" t="str">
            <v>PT. SMC Automation Indonesia</v>
          </cell>
          <cell r="D86">
            <v>3</v>
          </cell>
          <cell r="E86" t="str">
            <v>Pcs</v>
          </cell>
          <cell r="F86" t="str">
            <v>000000000033976</v>
          </cell>
        </row>
        <row r="87">
          <cell r="A87" t="str">
            <v>SBM-004-016-0000037</v>
          </cell>
          <cell r="B87" t="str">
            <v>AIR CYLINDER MGPM32-100Z-M9BWL</v>
          </cell>
          <cell r="C87" t="str">
            <v>PT. SMC Automation Indonesia</v>
          </cell>
          <cell r="D87">
            <v>1</v>
          </cell>
          <cell r="E87" t="str">
            <v>EA</v>
          </cell>
          <cell r="F87" t="str">
            <v>000000000033976</v>
          </cell>
        </row>
        <row r="88">
          <cell r="A88" t="str">
            <v>SBM-003-154-00000014</v>
          </cell>
          <cell r="B88" t="str">
            <v>LINER STA E0383B</v>
          </cell>
          <cell r="C88" t="str">
            <v>PT. Multiple Varindo</v>
          </cell>
          <cell r="D88">
            <v>1</v>
          </cell>
          <cell r="E88" t="str">
            <v>Pcs</v>
          </cell>
          <cell r="F88" t="str">
            <v>000000000033982</v>
          </cell>
        </row>
        <row r="89">
          <cell r="A89" t="str">
            <v>SBM-004-001-0001228</v>
          </cell>
          <cell r="B89" t="str">
            <v>2HCBE060120100 "JJ TOOLS"</v>
          </cell>
          <cell r="C89" t="str">
            <v>PT. SAMUDRA METALINDO SEJAHTERA</v>
          </cell>
          <cell r="D89">
            <v>7</v>
          </cell>
          <cell r="E89" t="str">
            <v>PCS</v>
          </cell>
          <cell r="F89" t="str">
            <v>000000000033986</v>
          </cell>
        </row>
        <row r="90">
          <cell r="A90" t="str">
            <v>SBM-003-001-0002680</v>
          </cell>
          <cell r="B90" t="str">
            <v>DIAMOND SUSPENSION (P) XP15 3µ (0.5 LTR)</v>
          </cell>
          <cell r="C90" t="str">
            <v>PT. Kita Bagus Sejahtera</v>
          </cell>
          <cell r="D90">
            <v>1</v>
          </cell>
          <cell r="E90" t="str">
            <v>BTL</v>
          </cell>
          <cell r="F90" t="str">
            <v>000000000034030</v>
          </cell>
        </row>
        <row r="91">
          <cell r="A91" t="str">
            <v>SBM-010-001-0000292</v>
          </cell>
          <cell r="B91" t="str">
            <v>ID CARD + YOYO</v>
          </cell>
          <cell r="C91" t="str">
            <v>Cipta Grafika</v>
          </cell>
          <cell r="D91">
            <v>8</v>
          </cell>
          <cell r="E91" t="str">
            <v>Pcs</v>
          </cell>
          <cell r="F91" t="str">
            <v>000000000034051</v>
          </cell>
        </row>
        <row r="92">
          <cell r="A92" t="str">
            <v>SBM-005-058-0000001</v>
          </cell>
          <cell r="B92" t="str">
            <v>TIMBANGAN 0-30 KG</v>
          </cell>
          <cell r="C92" t="str">
            <v>PT. Sentral Tehnologi Management</v>
          </cell>
          <cell r="D92">
            <v>2</v>
          </cell>
          <cell r="E92" t="str">
            <v>Pcs</v>
          </cell>
          <cell r="F92" t="str">
            <v>000000000034060</v>
          </cell>
        </row>
        <row r="93">
          <cell r="A93" t="str">
            <v>SBM-005-058-0000002</v>
          </cell>
          <cell r="B93" t="str">
            <v>ANAK TIMBANGAN 0-1000 G</v>
          </cell>
          <cell r="C93" t="str">
            <v>PT. Sentral Tehnologi Management</v>
          </cell>
          <cell r="D93">
            <v>3</v>
          </cell>
          <cell r="E93" t="str">
            <v>Pcs</v>
          </cell>
          <cell r="F93" t="str">
            <v>000000000034060</v>
          </cell>
        </row>
        <row r="94">
          <cell r="A94" t="str">
            <v>SBM-005-058-0000003</v>
          </cell>
          <cell r="B94" t="str">
            <v>TIMBANGAN 0 KG - 5 KG</v>
          </cell>
          <cell r="C94" t="str">
            <v>PT. Sentral Tehnologi Management</v>
          </cell>
          <cell r="D94">
            <v>3</v>
          </cell>
          <cell r="E94" t="str">
            <v>Pcs</v>
          </cell>
          <cell r="F94" t="str">
            <v>000000000034060</v>
          </cell>
        </row>
        <row r="95">
          <cell r="A95" t="str">
            <v>SBM-011-002-0000010</v>
          </cell>
          <cell r="B95" t="str">
            <v>PASIR</v>
          </cell>
          <cell r="C95" t="str">
            <v>CV. Mitra Multi Sarana</v>
          </cell>
          <cell r="D95">
            <v>20</v>
          </cell>
          <cell r="E95" t="str">
            <v>Meter Cubic</v>
          </cell>
          <cell r="F95" t="str">
            <v>000000000034111</v>
          </cell>
        </row>
        <row r="96">
          <cell r="A96" t="str">
            <v>SBM-004-017-0000029</v>
          </cell>
          <cell r="B96" t="str">
            <v>GEAR PUMP QT63-125F-A SUMITOMO</v>
          </cell>
          <cell r="C96" t="str">
            <v>CV. Mitra Multi Sarana</v>
          </cell>
          <cell r="D96">
            <v>1</v>
          </cell>
          <cell r="E96" t="str">
            <v>Unit</v>
          </cell>
          <cell r="F96" t="str">
            <v>000000000034115</v>
          </cell>
        </row>
        <row r="97">
          <cell r="A97" t="str">
            <v>SBM-010-001-0001119</v>
          </cell>
          <cell r="B97" t="str">
            <v>MISTAR PRINTER LQ 2190</v>
          </cell>
          <cell r="C97" t="str">
            <v>PT. Jaya Buana Perkasa</v>
          </cell>
          <cell r="D97">
            <v>1</v>
          </cell>
          <cell r="E97" t="str">
            <v>Unit</v>
          </cell>
          <cell r="F97" t="str">
            <v>000000000034126</v>
          </cell>
        </row>
        <row r="98">
          <cell r="A98" t="str">
            <v>SBM-010-001-0001120</v>
          </cell>
          <cell r="B98" t="str">
            <v>HEAD ORI PRINTER LQ 2190</v>
          </cell>
          <cell r="C98" t="str">
            <v>PT. Jaya Buana Perkasa</v>
          </cell>
          <cell r="D98">
            <v>1</v>
          </cell>
          <cell r="E98" t="str">
            <v>Unit</v>
          </cell>
          <cell r="F98" t="str">
            <v>000000000034126</v>
          </cell>
        </row>
        <row r="99">
          <cell r="A99" t="str">
            <v>SBM-003-138-00000007</v>
          </cell>
          <cell r="B99" t="str">
            <v>PRINTED CIRCUIT BOARD JED-4</v>
          </cell>
          <cell r="C99" t="str">
            <v>Nichidentec Co,. Ltd.</v>
          </cell>
          <cell r="D99">
            <v>1</v>
          </cell>
          <cell r="E99" t="str">
            <v>Pcs</v>
          </cell>
          <cell r="F99" t="str">
            <v>000000000034128</v>
          </cell>
        </row>
        <row r="100">
          <cell r="A100" t="str">
            <v>SBM-003-193-00000005</v>
          </cell>
          <cell r="B100" t="str">
            <v>RUBBER LINER 3B7540D2074</v>
          </cell>
          <cell r="C100" t="str">
            <v>PT. Sinto Indonesia</v>
          </cell>
          <cell r="D100">
            <v>1</v>
          </cell>
          <cell r="E100" t="str">
            <v>Pcs</v>
          </cell>
          <cell r="F100" t="str">
            <v>000000000034165</v>
          </cell>
        </row>
        <row r="101">
          <cell r="A101" t="str">
            <v>SBM-003-154-00000013</v>
          </cell>
          <cell r="B101" t="str">
            <v>LINER 3B7520E2045</v>
          </cell>
          <cell r="C101" t="str">
            <v>PT. Sinto Indonesia</v>
          </cell>
          <cell r="D101">
            <v>1</v>
          </cell>
          <cell r="E101" t="str">
            <v>Pcs</v>
          </cell>
          <cell r="F101" t="str">
            <v>000000000034165</v>
          </cell>
        </row>
        <row r="102">
          <cell r="A102" t="str">
            <v>SBM-010-001-0001102</v>
          </cell>
          <cell r="B102" t="str">
            <v>SPIDOL VAUTO</v>
          </cell>
          <cell r="C102" t="str">
            <v>PT. Wahana Karya Solusi</v>
          </cell>
          <cell r="D102">
            <v>24</v>
          </cell>
          <cell r="E102" t="str">
            <v>PCS</v>
          </cell>
          <cell r="F102" t="str">
            <v>000000000034175</v>
          </cell>
        </row>
        <row r="103">
          <cell r="A103" t="str">
            <v>SBM-003-154-00000008</v>
          </cell>
          <cell r="B103" t="str">
            <v>NUT WZ8 0320B</v>
          </cell>
          <cell r="C103" t="str">
            <v>PT. Multiple Varindo</v>
          </cell>
          <cell r="D103">
            <v>2</v>
          </cell>
          <cell r="E103" t="str">
            <v>Pcs</v>
          </cell>
          <cell r="F103" t="str">
            <v>000000000034176</v>
          </cell>
        </row>
        <row r="104">
          <cell r="A104" t="str">
            <v>SBM-003-012-0000681</v>
          </cell>
          <cell r="B104" t="str">
            <v>BAUT "L" M3X10 (SUS 304)</v>
          </cell>
          <cell r="C104" t="str">
            <v>PT. Afour Era Wijaya</v>
          </cell>
          <cell r="D104">
            <v>3</v>
          </cell>
          <cell r="E104" t="str">
            <v>Pcs</v>
          </cell>
          <cell r="F104" t="str">
            <v>000000000034195</v>
          </cell>
        </row>
        <row r="105">
          <cell r="A105" t="str">
            <v>SBM-003-010-0000160</v>
          </cell>
          <cell r="B105" t="str">
            <v>SPRING SKO 4500 TAP (CR 4 L 135 STEEL)</v>
          </cell>
          <cell r="C105" t="str">
            <v>PT. Afour Era Wijaya</v>
          </cell>
          <cell r="D105">
            <v>1</v>
          </cell>
          <cell r="E105" t="str">
            <v>Pcs</v>
          </cell>
          <cell r="F105" t="str">
            <v>000000000034195</v>
          </cell>
        </row>
        <row r="106">
          <cell r="A106" t="str">
            <v>SBM-003-010-0000161</v>
          </cell>
          <cell r="B106" t="str">
            <v>SPRING SKO 2000 TAP (CR 3 L 130 STEEL)</v>
          </cell>
          <cell r="C106" t="str">
            <v>PT. Afour Era Wijaya</v>
          </cell>
          <cell r="D106">
            <v>6</v>
          </cell>
          <cell r="E106" t="str">
            <v>Pcs</v>
          </cell>
          <cell r="F106" t="str">
            <v>000000000034195</v>
          </cell>
        </row>
        <row r="107">
          <cell r="A107" t="str">
            <v>SBM-009-026-0000001</v>
          </cell>
          <cell r="B107" t="str">
            <v>WEARPACK BIRU DONGKER TUA (TERUSAN)</v>
          </cell>
          <cell r="C107" t="str">
            <v>PT. Amco Multitech</v>
          </cell>
          <cell r="D107">
            <v>24</v>
          </cell>
          <cell r="E107" t="str">
            <v>Pcs</v>
          </cell>
          <cell r="F107" t="str">
            <v>000000000034240</v>
          </cell>
        </row>
        <row r="108">
          <cell r="A108" t="str">
            <v>SBM-010-001-0001196</v>
          </cell>
          <cell r="B108" t="str">
            <v>CONTROL BOX 30MM KGN SERIES JAPAN</v>
          </cell>
          <cell r="C108" t="str">
            <v>CV. Mitra Multi Sarana</v>
          </cell>
          <cell r="D108">
            <v>4</v>
          </cell>
          <cell r="E108" t="str">
            <v>Unit</v>
          </cell>
          <cell r="F108" t="str">
            <v>000000000034291</v>
          </cell>
        </row>
        <row r="109">
          <cell r="A109" t="str">
            <v>SBM-003-001-0000491</v>
          </cell>
          <cell r="B109" t="str">
            <v>POTENSIO 10K</v>
          </cell>
          <cell r="C109" t="str">
            <v>CV. Mitra Multi Sarana</v>
          </cell>
          <cell r="D109">
            <v>1</v>
          </cell>
          <cell r="E109" t="str">
            <v>Pcs</v>
          </cell>
          <cell r="F109" t="str">
            <v>000000000034291</v>
          </cell>
        </row>
        <row r="110">
          <cell r="A110" t="str">
            <v>SBM-004-098-0000031</v>
          </cell>
          <cell r="B110" t="str">
            <v>KABEL NYAF 0.75 YELLOW (1 ROLL=100M)</v>
          </cell>
          <cell r="C110" t="str">
            <v>PT. Wahana Karya Solusi</v>
          </cell>
          <cell r="D110">
            <v>1</v>
          </cell>
          <cell r="E110" t="str">
            <v>ROLL</v>
          </cell>
          <cell r="F110" t="str">
            <v>000000000034292</v>
          </cell>
        </row>
        <row r="111">
          <cell r="A111" t="str">
            <v>SBM-003-001-0000571</v>
          </cell>
          <cell r="B111" t="str">
            <v>CINCIN PIPE DIA 10</v>
          </cell>
          <cell r="C111" t="str">
            <v>PT. Master Hose Raya</v>
          </cell>
          <cell r="D111">
            <v>2</v>
          </cell>
          <cell r="E111" t="str">
            <v>Pcs</v>
          </cell>
          <cell r="F111" t="str">
            <v>000000000034293</v>
          </cell>
        </row>
        <row r="112">
          <cell r="A112" t="str">
            <v>SBM-008-036-0000003</v>
          </cell>
          <cell r="B112" t="str">
            <v>BOSELON 103 SQB 0,08X820X570X870</v>
          </cell>
          <cell r="C112" t="str">
            <v>PT. ACBOS Indonesia</v>
          </cell>
          <cell r="D112">
            <v>950</v>
          </cell>
          <cell r="E112" t="str">
            <v>Pcs</v>
          </cell>
          <cell r="F112" t="str">
            <v>000000000034300</v>
          </cell>
        </row>
        <row r="113">
          <cell r="A113" t="str">
            <v>SBM-004-001-0000880</v>
          </cell>
          <cell r="B113" t="str">
            <v>LINE FILTER MDF ON 110 OC5C 1.0/-B6</v>
          </cell>
          <cell r="C113" t="str">
            <v>PT. Eiko Teknik Indonesia</v>
          </cell>
          <cell r="D113">
            <v>1</v>
          </cell>
          <cell r="E113" t="str">
            <v>Pcs</v>
          </cell>
          <cell r="F113" t="str">
            <v>000000000034316</v>
          </cell>
        </row>
        <row r="114">
          <cell r="A114" t="str">
            <v>SBM-003-193-00000005</v>
          </cell>
          <cell r="B114" t="str">
            <v>RUBBER LINER 3B7540D2074</v>
          </cell>
          <cell r="C114" t="str">
            <v>PT. Sinto Indonesia</v>
          </cell>
          <cell r="D114">
            <v>1</v>
          </cell>
          <cell r="E114" t="str">
            <v>Pcs</v>
          </cell>
          <cell r="F114" t="str">
            <v>000000000034332</v>
          </cell>
        </row>
        <row r="115">
          <cell r="A115" t="str">
            <v>SBM-003-091-0000138</v>
          </cell>
          <cell r="B115" t="str">
            <v>SINTO SNB30 PROJECTION LINER B4378R</v>
          </cell>
          <cell r="C115" t="str">
            <v>PT. Sinto Indonesia</v>
          </cell>
          <cell r="D115">
            <v>1</v>
          </cell>
          <cell r="E115" t="str">
            <v>PCS</v>
          </cell>
          <cell r="F115" t="str">
            <v>000000000034333</v>
          </cell>
        </row>
        <row r="116">
          <cell r="A116" t="str">
            <v>SBM-009-006-0000002</v>
          </cell>
          <cell r="B116" t="str">
            <v>SAFETY SHOES TS3017R (TANPA TALI)</v>
          </cell>
          <cell r="C116" t="str">
            <v>PT. Amco Multitech</v>
          </cell>
          <cell r="D116">
            <v>3</v>
          </cell>
          <cell r="E116" t="str">
            <v>Pasang</v>
          </cell>
          <cell r="F116" t="str">
            <v>000000000034336</v>
          </cell>
        </row>
        <row r="117">
          <cell r="A117" t="str">
            <v>SBM-003-018-0000040</v>
          </cell>
          <cell r="B117" t="str">
            <v>FLOW LIMITER NOZZLE 24-0455-2576 (0.6)</v>
          </cell>
          <cell r="C117" t="str">
            <v>PT. Kiso-Seiko Indonesia</v>
          </cell>
          <cell r="D117">
            <v>1</v>
          </cell>
          <cell r="E117" t="str">
            <v>Pcs</v>
          </cell>
          <cell r="F117" t="str">
            <v>000000000034340</v>
          </cell>
        </row>
        <row r="118">
          <cell r="A118" t="str">
            <v>SBM-003-018-0000053</v>
          </cell>
          <cell r="B118" t="str">
            <v>FLOW LIMITER NOZZLE 24-0455-2582 (0.9MM)</v>
          </cell>
          <cell r="C118" t="str">
            <v>PT. Kiso-Seiko Indonesia</v>
          </cell>
          <cell r="D118">
            <v>1</v>
          </cell>
          <cell r="E118" t="str">
            <v>Pcs</v>
          </cell>
          <cell r="F118" t="str">
            <v>000000000034340</v>
          </cell>
        </row>
        <row r="119">
          <cell r="A119" t="str">
            <v>SBM-003-091-0000151</v>
          </cell>
          <cell r="B119" t="str">
            <v>SINTO SNM0ZB LINER #128</v>
          </cell>
          <cell r="C119" t="str">
            <v>PT. Multiple Varindo</v>
          </cell>
          <cell r="D119">
            <v>9</v>
          </cell>
          <cell r="E119" t="str">
            <v>PCS</v>
          </cell>
          <cell r="F119" t="str">
            <v>000000000034385</v>
          </cell>
        </row>
        <row r="120">
          <cell r="A120" t="str">
            <v>SBM-003-091-0000152</v>
          </cell>
          <cell r="B120" t="str">
            <v>SINTO SNM0ZB LINER #129</v>
          </cell>
          <cell r="C120" t="str">
            <v>PT. Multiple Varindo</v>
          </cell>
          <cell r="D120">
            <v>6</v>
          </cell>
          <cell r="E120" t="str">
            <v>PCS</v>
          </cell>
          <cell r="F120" t="str">
            <v>000000000034385</v>
          </cell>
        </row>
        <row r="121">
          <cell r="A121" t="str">
            <v>SBM-004-014-0000169</v>
          </cell>
          <cell r="B121" t="str">
            <v>DIVIDER VALVES MOVING NOZZLE #GD9363S</v>
          </cell>
          <cell r="C121" t="str">
            <v>Sumitomo Heavy Industries, Ltd</v>
          </cell>
          <cell r="D121">
            <v>1</v>
          </cell>
          <cell r="E121" t="str">
            <v>Pcs</v>
          </cell>
          <cell r="F121" t="str">
            <v>000000000034396</v>
          </cell>
        </row>
        <row r="122">
          <cell r="A122" t="str">
            <v>SBM-004-014-0000167</v>
          </cell>
          <cell r="B122" t="str">
            <v>DIVIDER VALVES GREASE PUMP UNIT #GD0426S</v>
          </cell>
          <cell r="C122" t="str">
            <v>Sumitomo Heavy Industries, Ltd</v>
          </cell>
          <cell r="D122">
            <v>1</v>
          </cell>
          <cell r="E122" t="str">
            <v>Pcs</v>
          </cell>
          <cell r="F122" t="str">
            <v>000000000034396</v>
          </cell>
        </row>
        <row r="123">
          <cell r="A123" t="str">
            <v>SBM-004-014-0000168</v>
          </cell>
          <cell r="B123" t="str">
            <v>DIVIDER VALVES MAIN PIPING #GD0114S</v>
          </cell>
          <cell r="C123" t="str">
            <v>Sumitomo Heavy Industries, Ltd</v>
          </cell>
          <cell r="D123">
            <v>1</v>
          </cell>
          <cell r="E123" t="str">
            <v>Pcs</v>
          </cell>
          <cell r="F123" t="str">
            <v>000000000034396</v>
          </cell>
        </row>
        <row r="124">
          <cell r="A124" t="str">
            <v>SBM-003-054-0000079</v>
          </cell>
          <cell r="B124" t="str">
            <v>CHAIN RS50-3R (SUS304)</v>
          </cell>
          <cell r="C124" t="str">
            <v>PT. FSCM Manufacturing Indonesia</v>
          </cell>
          <cell r="D124">
            <v>10</v>
          </cell>
          <cell r="E124" t="str">
            <v>ROLL</v>
          </cell>
          <cell r="F124" t="str">
            <v>000000000034430</v>
          </cell>
        </row>
        <row r="125">
          <cell r="A125" t="str">
            <v>SBM-003-001-0003285</v>
          </cell>
          <cell r="B125" t="str">
            <v>A15 PRO W HAIWELL</v>
          </cell>
          <cell r="C125" t="str">
            <v>PT MAXWELL INDO MAKMUR</v>
          </cell>
          <cell r="D125">
            <v>1</v>
          </cell>
          <cell r="E125" t="str">
            <v>EA</v>
          </cell>
          <cell r="F125" t="str">
            <v>000000000034436</v>
          </cell>
        </row>
        <row r="126">
          <cell r="A126" t="str">
            <v>SBM-003-001-0002154</v>
          </cell>
          <cell r="B126" t="str">
            <v>HITACHI VALVE TYPE HM10KSG SIZE 3/8 INCH</v>
          </cell>
          <cell r="C126" t="str">
            <v>PT. Eiko Teknik Indonesia</v>
          </cell>
          <cell r="D126">
            <v>2</v>
          </cell>
          <cell r="E126" t="str">
            <v>Pcs</v>
          </cell>
          <cell r="F126" t="str">
            <v>000000000034440</v>
          </cell>
        </row>
        <row r="127">
          <cell r="A127" t="str">
            <v>SBM-003-001-0003290</v>
          </cell>
          <cell r="B127" t="str">
            <v>CLUTCH CYLINDER E1-06 Ø830*Ø115*225H/FCD</v>
          </cell>
          <cell r="C127" t="str">
            <v>JH INTERNATIONAL CO.,LTD</v>
          </cell>
          <cell r="D127">
            <v>1</v>
          </cell>
          <cell r="E127" t="str">
            <v>Set</v>
          </cell>
          <cell r="F127" t="str">
            <v>000000000034514</v>
          </cell>
        </row>
        <row r="128">
          <cell r="A128" t="str">
            <v>SBM-003-001-0003291</v>
          </cell>
          <cell r="B128" t="str">
            <v>CLUTCH PISTON E1-05 Ø830*Ø266*153H/FCD45</v>
          </cell>
          <cell r="C128" t="str">
            <v>JH INTERNATIONAL CO.,LTD</v>
          </cell>
          <cell r="D128">
            <v>1</v>
          </cell>
          <cell r="E128" t="str">
            <v>Set</v>
          </cell>
          <cell r="F128" t="str">
            <v>000000000034514</v>
          </cell>
        </row>
        <row r="129">
          <cell r="A129" t="str">
            <v>SBM-003-001-0003292</v>
          </cell>
          <cell r="B129" t="str">
            <v>EXPORT PACKING &amp; OCEAN FREIGHT</v>
          </cell>
          <cell r="C129" t="str">
            <v>JH INTERNATIONAL CO.,LTD</v>
          </cell>
          <cell r="D129">
            <v>1</v>
          </cell>
          <cell r="E129" t="str">
            <v>Set</v>
          </cell>
          <cell r="F129" t="str">
            <v>000000000034514</v>
          </cell>
        </row>
        <row r="130">
          <cell r="A130" t="str">
            <v>SBM-003-001-0003293</v>
          </cell>
          <cell r="B130" t="str">
            <v>CLUTH GEAR Ø742*Ø210*200L/FCD45</v>
          </cell>
          <cell r="C130" t="str">
            <v>JH INTERNATIONAL CO.,LTD</v>
          </cell>
          <cell r="D130">
            <v>1</v>
          </cell>
          <cell r="E130" t="str">
            <v>Set</v>
          </cell>
          <cell r="F130" t="str">
            <v>000000000034514</v>
          </cell>
        </row>
        <row r="131">
          <cell r="A131" t="str">
            <v>SBM-010-005-0000028</v>
          </cell>
          <cell r="B131" t="str">
            <v>DOORPRIZE + OPERATIONAL EXPENSES 2025</v>
          </cell>
          <cell r="C131" t="str">
            <v>One Time Vendor</v>
          </cell>
          <cell r="D131">
            <v>1</v>
          </cell>
          <cell r="E131" t="str">
            <v>Lot</v>
          </cell>
          <cell r="F131" t="str">
            <v>000000000034583</v>
          </cell>
        </row>
        <row r="132">
          <cell r="A132" t="str">
            <v>SBM-010-001-0000777</v>
          </cell>
          <cell r="B132" t="str">
            <v>KERTAS A4 MEREK COPY PAPER 70 GRAM</v>
          </cell>
          <cell r="C132" t="str">
            <v>CV. Mitra Sejati</v>
          </cell>
          <cell r="D132">
            <v>80</v>
          </cell>
          <cell r="E132" t="str">
            <v>Rim</v>
          </cell>
          <cell r="F132" t="str">
            <v>000000000034588</v>
          </cell>
        </row>
        <row r="133">
          <cell r="A133" t="str">
            <v>SBM-010-009-0000011</v>
          </cell>
          <cell r="B133" t="str">
            <v>SABUN PEMBERSIH LANTAI 5 LITER (HOME IND</v>
          </cell>
          <cell r="C133" t="str">
            <v>CV YASUKATA</v>
          </cell>
          <cell r="D133">
            <v>10</v>
          </cell>
          <cell r="E133" t="str">
            <v>PCS</v>
          </cell>
          <cell r="F133" t="str">
            <v>000000000034591</v>
          </cell>
        </row>
        <row r="134">
          <cell r="A134" t="str">
            <v>SBM-010-001-0000946</v>
          </cell>
          <cell r="B134" t="str">
            <v>TISU KERTAS MEREK LIVI</v>
          </cell>
          <cell r="C134" t="str">
            <v>CV YASUKATA</v>
          </cell>
          <cell r="D134">
            <v>170</v>
          </cell>
          <cell r="E134" t="str">
            <v>PCS</v>
          </cell>
          <cell r="F134" t="str">
            <v>000000000034591</v>
          </cell>
        </row>
        <row r="135">
          <cell r="A135" t="str">
            <v>SBM-004-001-0001328</v>
          </cell>
          <cell r="B135" t="str">
            <v>BKD-61R WELDING ROD 2.4MM X 1000MM</v>
          </cell>
          <cell r="C135" t="str">
            <v>PT. Kiso-Seiko Indonesia</v>
          </cell>
          <cell r="D135">
            <v>5</v>
          </cell>
          <cell r="E135" t="str">
            <v>Kg</v>
          </cell>
          <cell r="F135" t="str">
            <v>000000000034597</v>
          </cell>
        </row>
        <row r="136">
          <cell r="A136" t="str">
            <v>SBM-003-012-0000875</v>
          </cell>
          <cell r="B136" t="str">
            <v>SWS 12.5-35 COIL SPRING</v>
          </cell>
          <cell r="C136" t="str">
            <v>PT. Misumi Indonesia</v>
          </cell>
          <cell r="D136">
            <v>2</v>
          </cell>
          <cell r="E136" t="str">
            <v>PCS</v>
          </cell>
          <cell r="F136" t="str">
            <v>000000000034598</v>
          </cell>
        </row>
        <row r="137">
          <cell r="A137" t="str">
            <v>SBM-002-010-0000005</v>
          </cell>
          <cell r="B137" t="str">
            <v>MICRO CHECK CLEANER (420ML)(00141)</v>
          </cell>
          <cell r="C137" t="str">
            <v>PT. TMG lnternasional lndonesia</v>
          </cell>
          <cell r="D137">
            <v>2</v>
          </cell>
          <cell r="E137" t="str">
            <v>CAN</v>
          </cell>
          <cell r="F137" t="str">
            <v>000000000034604</v>
          </cell>
        </row>
        <row r="138">
          <cell r="A138" t="str">
            <v>SBM-010-001-0000107</v>
          </cell>
          <cell r="B138" t="str">
            <v>STRECH FILM</v>
          </cell>
          <cell r="C138" t="str">
            <v>CV FARHANA INDOTAMA</v>
          </cell>
          <cell r="D138">
            <v>30</v>
          </cell>
          <cell r="E138" t="str">
            <v>PCS</v>
          </cell>
          <cell r="F138" t="str">
            <v>000000000034609</v>
          </cell>
        </row>
        <row r="139">
          <cell r="A139" t="str">
            <v>SBM-010-002-00002147</v>
          </cell>
          <cell r="B139" t="str">
            <v>PRINTER ZEBRA GT820</v>
          </cell>
          <cell r="C139" t="str">
            <v>PT. Wahana Karya Solusi</v>
          </cell>
          <cell r="D139">
            <v>1</v>
          </cell>
          <cell r="E139" t="str">
            <v>Unit</v>
          </cell>
          <cell r="F139" t="str">
            <v>000000000034620</v>
          </cell>
        </row>
        <row r="140">
          <cell r="A140" t="str">
            <v>SBM-007-001-0005806</v>
          </cell>
          <cell r="B140" t="str">
            <v>OVERHAUL CONVEYOR MIS 4500 TAP</v>
          </cell>
          <cell r="C140" t="str">
            <v>PT SEKAWAN WIJAYA TEKNIK</v>
          </cell>
          <cell r="D140">
            <v>1</v>
          </cell>
          <cell r="E140" t="str">
            <v>Lot</v>
          </cell>
          <cell r="F140" t="str">
            <v>000000000034626</v>
          </cell>
        </row>
        <row r="141">
          <cell r="A141" t="str">
            <v>SBM-007-001-0007060</v>
          </cell>
          <cell r="B141" t="str">
            <v>BONGKAR PASANG MEST CONVEYOR 2000TAP</v>
          </cell>
          <cell r="C141" t="str">
            <v>PT SEKAWAN WIJAYA TEKNIK</v>
          </cell>
          <cell r="D141">
            <v>1</v>
          </cell>
          <cell r="E141" t="str">
            <v>Lot</v>
          </cell>
          <cell r="F141" t="str">
            <v>000000000034627</v>
          </cell>
        </row>
        <row r="142">
          <cell r="A142" t="str">
            <v>SBM-007-001-0007209</v>
          </cell>
          <cell r="B142" t="str">
            <v>PREVENTIVE CONVEYOR BURRY 2000TAP</v>
          </cell>
          <cell r="C142" t="str">
            <v>PT SEKAWAN WIJAYA TEKNIK</v>
          </cell>
          <cell r="D142">
            <v>1</v>
          </cell>
          <cell r="E142" t="str">
            <v>Lot</v>
          </cell>
          <cell r="F142" t="str">
            <v>000000000034628</v>
          </cell>
        </row>
        <row r="143">
          <cell r="A143" t="str">
            <v>SBM-001-003-0000004</v>
          </cell>
          <cell r="B143" t="str">
            <v>BESTCHEM DWF A18 ANTI RUST</v>
          </cell>
          <cell r="C143" t="str">
            <v>PT. Pelangi Lumasindo Sukses</v>
          </cell>
          <cell r="D143">
            <v>2200</v>
          </cell>
          <cell r="E143" t="str">
            <v>Liter</v>
          </cell>
          <cell r="F143" t="str">
            <v>000000000034639</v>
          </cell>
        </row>
        <row r="144">
          <cell r="A144" t="str">
            <v>SBM-010-001-0001102</v>
          </cell>
          <cell r="B144" t="str">
            <v>SPIDOL VAUTO</v>
          </cell>
          <cell r="C144" t="str">
            <v>PT. Wahana Karya Solusi</v>
          </cell>
          <cell r="D144">
            <v>12</v>
          </cell>
          <cell r="E144" t="str">
            <v>PCS</v>
          </cell>
          <cell r="F144" t="str">
            <v>000000000034642</v>
          </cell>
        </row>
        <row r="145">
          <cell r="A145" t="str">
            <v>SBM-007-001-0007800</v>
          </cell>
          <cell r="B145" t="str">
            <v>AC SUIDE RUANG PRODUKSI LINE</v>
          </cell>
          <cell r="C145" t="str">
            <v>PT DUNIA SEJUK ABADI</v>
          </cell>
          <cell r="D145">
            <v>1</v>
          </cell>
          <cell r="E145" t="str">
            <v>PCS</v>
          </cell>
          <cell r="F145" t="str">
            <v>000000000034667</v>
          </cell>
        </row>
        <row r="146">
          <cell r="A146" t="str">
            <v>SBM-007-001-0006750</v>
          </cell>
          <cell r="B146" t="str">
            <v>JASA PEMASANGAN</v>
          </cell>
          <cell r="C146" t="str">
            <v>PT DUNIA SEJUK ABADI</v>
          </cell>
          <cell r="D146">
            <v>1</v>
          </cell>
          <cell r="E146" t="str">
            <v>Lot</v>
          </cell>
          <cell r="F146" t="str">
            <v>000000000034667</v>
          </cell>
        </row>
        <row r="147">
          <cell r="A147" t="str">
            <v>SBM-007-001-0002884</v>
          </cell>
          <cell r="B147" t="str">
            <v>BIAYA INSITU</v>
          </cell>
          <cell r="C147" t="str">
            <v>PT. Sentral Tehnologi Management</v>
          </cell>
          <cell r="D147">
            <v>1</v>
          </cell>
          <cell r="E147" t="str">
            <v>Pcs</v>
          </cell>
          <cell r="F147" t="str">
            <v>000000000034678</v>
          </cell>
        </row>
        <row r="148">
          <cell r="A148" t="str">
            <v>SBM-005-057-0000005</v>
          </cell>
          <cell r="B148" t="str">
            <v>BEVEL BOX</v>
          </cell>
          <cell r="C148" t="str">
            <v>PT. Sentral Tehnologi Management</v>
          </cell>
          <cell r="D148">
            <v>4</v>
          </cell>
          <cell r="E148" t="str">
            <v>Pcs</v>
          </cell>
          <cell r="F148" t="str">
            <v>000000000034678</v>
          </cell>
        </row>
        <row r="149">
          <cell r="A149" t="str">
            <v>SBM-007-001-0007799</v>
          </cell>
          <cell r="B149" t="str">
            <v>RENTAL FORKLIFT DIESEL 3TON (NEW) TOYOTA</v>
          </cell>
          <cell r="C149" t="str">
            <v>PT. KIANIS PRATAMA</v>
          </cell>
          <cell r="D149">
            <v>34</v>
          </cell>
          <cell r="E149" t="str">
            <v>Unit</v>
          </cell>
          <cell r="F149" t="str">
            <v>000000000034679</v>
          </cell>
        </row>
        <row r="150">
          <cell r="A150" t="str">
            <v>SBM-007-001-0007799</v>
          </cell>
          <cell r="B150" t="str">
            <v>RENTAL FORKLIFT DIESEL 3TON (NEW) TOYOTA</v>
          </cell>
          <cell r="C150" t="str">
            <v>PT. KIANIS PRATAMA</v>
          </cell>
          <cell r="D150">
            <v>34</v>
          </cell>
          <cell r="E150" t="str">
            <v>Unit</v>
          </cell>
          <cell r="F150" t="str">
            <v>000000000034679</v>
          </cell>
        </row>
        <row r="151">
          <cell r="A151" t="str">
            <v>SBM-007-001-0007784</v>
          </cell>
          <cell r="B151" t="str">
            <v>REPAIR STOPPER HEAD</v>
          </cell>
          <cell r="C151" t="str">
            <v>PT. Shiroi Indonesia</v>
          </cell>
          <cell r="D151">
            <v>7</v>
          </cell>
          <cell r="E151" t="str">
            <v>PCS</v>
          </cell>
          <cell r="F151" t="str">
            <v>000000000034692</v>
          </cell>
        </row>
        <row r="152">
          <cell r="A152" t="str">
            <v>SBM-002-010-0000005</v>
          </cell>
          <cell r="B152" t="str">
            <v>MICRO CHECK CLEANER (420ML)(00141)</v>
          </cell>
          <cell r="C152" t="str">
            <v>PT. TMG lnternasional lndonesia</v>
          </cell>
          <cell r="D152">
            <v>6</v>
          </cell>
          <cell r="E152" t="str">
            <v>CAN</v>
          </cell>
          <cell r="F152" t="str">
            <v>000000000034698</v>
          </cell>
        </row>
        <row r="153">
          <cell r="A153" t="str">
            <v>SBM-011-002-0000003</v>
          </cell>
          <cell r="B153" t="str">
            <v>ROUNDED STEEL CUT WIRE SHOT 0,6</v>
          </cell>
          <cell r="C153" t="str">
            <v>PT. Multiple Varindo</v>
          </cell>
          <cell r="D153">
            <v>2000</v>
          </cell>
          <cell r="E153" t="str">
            <v>Kg</v>
          </cell>
          <cell r="F153" t="str">
            <v>000000000034700</v>
          </cell>
        </row>
        <row r="154">
          <cell r="A154" t="str">
            <v>SBM-005-008-0000077</v>
          </cell>
          <cell r="B154" t="str">
            <v>CALIBRATION FOR MICROVICKERS FM300</v>
          </cell>
          <cell r="C154" t="str">
            <v>PT. Dynatech International</v>
          </cell>
          <cell r="D154">
            <v>1</v>
          </cell>
          <cell r="E154" t="str">
            <v>Unit</v>
          </cell>
          <cell r="F154" t="str">
            <v>000000000034704</v>
          </cell>
        </row>
        <row r="155">
          <cell r="A155" t="str">
            <v>SBM-007-001-0004955</v>
          </cell>
          <cell r="B155" t="str">
            <v>CALIBRATION FOR BRINELL HARDNESS TESTER</v>
          </cell>
          <cell r="C155" t="str">
            <v>PT. Dynatech International</v>
          </cell>
          <cell r="D155">
            <v>1</v>
          </cell>
          <cell r="E155" t="str">
            <v>Lot</v>
          </cell>
          <cell r="F155" t="str">
            <v>000000000034704</v>
          </cell>
        </row>
        <row r="156">
          <cell r="A156" t="str">
            <v>SBM-007-001-0004956</v>
          </cell>
          <cell r="B156" t="str">
            <v>CALIBRATION FOR VICKERS HARDNESS TESTER</v>
          </cell>
          <cell r="C156" t="str">
            <v>PT. Dynatech International</v>
          </cell>
          <cell r="D156">
            <v>1</v>
          </cell>
          <cell r="E156" t="str">
            <v>Lot</v>
          </cell>
          <cell r="F156" t="str">
            <v>000000000034704</v>
          </cell>
        </row>
        <row r="157">
          <cell r="A157" t="str">
            <v>SBM-007-001-0004957</v>
          </cell>
          <cell r="B157" t="str">
            <v>CALIBRATION FOR DIGITAL ROCKWELL HARDNES</v>
          </cell>
          <cell r="C157" t="str">
            <v>PT. Dynatech International</v>
          </cell>
          <cell r="D157">
            <v>1</v>
          </cell>
          <cell r="E157" t="str">
            <v>Lot</v>
          </cell>
          <cell r="F157" t="str">
            <v>000000000034704</v>
          </cell>
        </row>
        <row r="158">
          <cell r="A158" t="str">
            <v>SBM-004-172-0000004</v>
          </cell>
          <cell r="B158" t="str">
            <v>CHAIN RS60-10LK1</v>
          </cell>
          <cell r="C158" t="str">
            <v>PT TSUBAKI INDONESIA MANUFACTURING</v>
          </cell>
          <cell r="D158">
            <v>560</v>
          </cell>
          <cell r="E158" t="str">
            <v>LKS</v>
          </cell>
          <cell r="F158" t="str">
            <v>000000000034714</v>
          </cell>
        </row>
        <row r="159">
          <cell r="A159" t="str">
            <v>SBM-007-001-0007799</v>
          </cell>
          <cell r="B159" t="str">
            <v>RENTAL FORKLIFT DIESEL 3TON (NEW) TOYOTA</v>
          </cell>
          <cell r="C159" t="str">
            <v>PT. KIANIS PRATAMA</v>
          </cell>
          <cell r="D159">
            <v>35</v>
          </cell>
          <cell r="E159" t="str">
            <v>Unit</v>
          </cell>
          <cell r="F159" t="str">
            <v>000000000034715</v>
          </cell>
        </row>
        <row r="160">
          <cell r="A160" t="str">
            <v>SBM-004-238-0000009</v>
          </cell>
          <cell r="B160" t="str">
            <v>DISTRIBUTION VALVE VPKG-3 (5)GREASE 4500</v>
          </cell>
          <cell r="C160" t="str">
            <v>PT. SLS Bearindo</v>
          </cell>
          <cell r="D160">
            <v>1</v>
          </cell>
          <cell r="E160" t="str">
            <v>Pcs</v>
          </cell>
          <cell r="F160" t="str">
            <v>000000000034716</v>
          </cell>
        </row>
        <row r="161">
          <cell r="A161" t="str">
            <v>SBM-004-238-0000011</v>
          </cell>
          <cell r="B161" t="str">
            <v>DISTRIBUTION VALVE VPKG-3 (7)GREASE 4500</v>
          </cell>
          <cell r="C161" t="str">
            <v>PT. SLS Bearindo</v>
          </cell>
          <cell r="D161">
            <v>1</v>
          </cell>
          <cell r="E161" t="str">
            <v>Pcs</v>
          </cell>
          <cell r="F161" t="str">
            <v>000000000034716</v>
          </cell>
        </row>
        <row r="162">
          <cell r="A162" t="str">
            <v>SBM-004-238-0000010</v>
          </cell>
          <cell r="B162" t="str">
            <v>DISTRIBUTION VALVE VPKG-3 (6)GREASE 4500</v>
          </cell>
          <cell r="C162" t="str">
            <v>PT. SLS Bearindo</v>
          </cell>
          <cell r="D162">
            <v>1</v>
          </cell>
          <cell r="E162" t="str">
            <v>Pcs</v>
          </cell>
          <cell r="F162" t="str">
            <v>000000000034716</v>
          </cell>
        </row>
        <row r="163">
          <cell r="A163" t="str">
            <v>SBM-004-238-0000007</v>
          </cell>
          <cell r="B163" t="str">
            <v>DISTRIBUTION VALVE VPKG-5 (3)GREASE 4500</v>
          </cell>
          <cell r="C163" t="str">
            <v>PT. SLS Bearindo</v>
          </cell>
          <cell r="D163">
            <v>1</v>
          </cell>
          <cell r="E163" t="str">
            <v>Pcs</v>
          </cell>
          <cell r="F163" t="str">
            <v>000000000034716</v>
          </cell>
        </row>
        <row r="164">
          <cell r="A164" t="str">
            <v>SBM-004-238-0000006</v>
          </cell>
          <cell r="B164" t="str">
            <v>DISTRIBUTION VALVE VPKG-3 (2)GREASE 4500</v>
          </cell>
          <cell r="C164" t="str">
            <v>PT. SLS Bearindo</v>
          </cell>
          <cell r="D164">
            <v>1</v>
          </cell>
          <cell r="E164" t="str">
            <v>Pcs</v>
          </cell>
          <cell r="F164" t="str">
            <v>000000000034716</v>
          </cell>
        </row>
        <row r="165">
          <cell r="A165" t="str">
            <v>SBM-004-238-0000005</v>
          </cell>
          <cell r="B165" t="str">
            <v>DISTRIBUTION VALVE VPKG-3 (1)GREASE 4500</v>
          </cell>
          <cell r="C165" t="str">
            <v>PT. SLS Bearindo</v>
          </cell>
          <cell r="D165">
            <v>1</v>
          </cell>
          <cell r="E165" t="str">
            <v>Pcs</v>
          </cell>
          <cell r="F165" t="str">
            <v>000000000034716</v>
          </cell>
        </row>
        <row r="166">
          <cell r="A166" t="str">
            <v>SBM-007-001-0004958</v>
          </cell>
          <cell r="B166" t="str">
            <v>ENGINEERING FEE PERIODICAL INSPECTION EV</v>
          </cell>
          <cell r="C166" t="str">
            <v>PT. Nachi Indonesia</v>
          </cell>
          <cell r="D166">
            <v>1</v>
          </cell>
          <cell r="E166" t="str">
            <v>Lot</v>
          </cell>
          <cell r="F166" t="str">
            <v>000000000034732</v>
          </cell>
        </row>
        <row r="167">
          <cell r="A167" t="str">
            <v>SBM-010-002-0002627</v>
          </cell>
          <cell r="B167" t="str">
            <v>59021000 MECHANICAL SEAL ASSEMBLY</v>
          </cell>
          <cell r="C167" t="str">
            <v>PT GAPA CITRAMANDIRI</v>
          </cell>
          <cell r="D167">
            <v>1</v>
          </cell>
          <cell r="E167" t="str">
            <v>PCS</v>
          </cell>
          <cell r="F167" t="str">
            <v>000000000034739</v>
          </cell>
        </row>
        <row r="168">
          <cell r="A168" t="str">
            <v>SBM-007-001-0007803</v>
          </cell>
          <cell r="B168" t="str">
            <v>JASA SERVICE COMPRESSOR HITACHI OSP</v>
          </cell>
          <cell r="C168" t="str">
            <v>PT GAPA CITRAMANDIRI</v>
          </cell>
          <cell r="D168">
            <v>1</v>
          </cell>
          <cell r="E168" t="str">
            <v>Lot</v>
          </cell>
          <cell r="F168" t="str">
            <v>000000000034739</v>
          </cell>
        </row>
        <row r="169">
          <cell r="A169" t="str">
            <v>SBM-007-001-0005935</v>
          </cell>
          <cell r="B169" t="str">
            <v>EXCHANGE ONLINE (PLAN 1)</v>
          </cell>
          <cell r="C169" t="str">
            <v>PT. SoftwareONE Indonesia</v>
          </cell>
          <cell r="D169">
            <v>2</v>
          </cell>
          <cell r="E169" t="str">
            <v>Lot</v>
          </cell>
          <cell r="F169" t="str">
            <v>000000000034740</v>
          </cell>
        </row>
        <row r="170">
          <cell r="A170" t="str">
            <v>SBM-004-066-0000014</v>
          </cell>
          <cell r="B170" t="str">
            <v>RAIL Ø 65 COIL</v>
          </cell>
          <cell r="C170" t="str">
            <v>PT. Asko Teknik Makmur</v>
          </cell>
          <cell r="D170">
            <v>1</v>
          </cell>
          <cell r="E170" t="str">
            <v>Pcs</v>
          </cell>
          <cell r="F170" t="str">
            <v>000000000034754</v>
          </cell>
        </row>
        <row r="171">
          <cell r="A171" t="str">
            <v>SBM-009-015-0000001</v>
          </cell>
          <cell r="B171" t="str">
            <v>ROMPI MODEL V</v>
          </cell>
          <cell r="C171" t="str">
            <v>PT. Dakara Citra Tangguh</v>
          </cell>
          <cell r="D171">
            <v>16</v>
          </cell>
          <cell r="E171" t="str">
            <v>Pcs</v>
          </cell>
          <cell r="F171" t="str">
            <v>000000000034761</v>
          </cell>
        </row>
        <row r="172">
          <cell r="A172" t="str">
            <v>SBM-007-001-0007680</v>
          </cell>
          <cell r="B172" t="str">
            <v>REPAIR DIE SET 2000 TAP LOWER</v>
          </cell>
          <cell r="C172" t="str">
            <v>PT. Yontomo Sukses Abadi</v>
          </cell>
          <cell r="D172">
            <v>1</v>
          </cell>
          <cell r="E172" t="str">
            <v>Lot</v>
          </cell>
          <cell r="F172" t="str">
            <v>000000000034764</v>
          </cell>
        </row>
        <row r="173">
          <cell r="A173" t="str">
            <v>SBM-007-001-0007681</v>
          </cell>
          <cell r="B173" t="str">
            <v>MACHINING DIE SET 2000 TAP LOWER</v>
          </cell>
          <cell r="C173" t="str">
            <v>PT. Yontomo Sukses Abadi</v>
          </cell>
          <cell r="D173">
            <v>1</v>
          </cell>
          <cell r="E173" t="str">
            <v>Lot</v>
          </cell>
          <cell r="F173" t="str">
            <v>000000000034764</v>
          </cell>
        </row>
        <row r="174">
          <cell r="A174" t="str">
            <v>SBM-007-001-0007839</v>
          </cell>
          <cell r="B174" t="str">
            <v>WELDING BOGATA D60F-X UPPER (YF 2312)</v>
          </cell>
          <cell r="C174" t="str">
            <v>PT. Yontomo Sukses Abadi</v>
          </cell>
          <cell r="D174">
            <v>1</v>
          </cell>
          <cell r="E174" t="str">
            <v>Lot</v>
          </cell>
          <cell r="F174" t="str">
            <v>000000000034765</v>
          </cell>
        </row>
        <row r="175">
          <cell r="A175" t="str">
            <v>SBM-007-001-0007840</v>
          </cell>
          <cell r="B175" t="str">
            <v>MACHINING BOGATA D60F-X UPPER (YF 2312)</v>
          </cell>
          <cell r="C175" t="str">
            <v>PT. Yontomo Sukses Abadi</v>
          </cell>
          <cell r="D175">
            <v>1</v>
          </cell>
          <cell r="E175" t="str">
            <v>Lot</v>
          </cell>
          <cell r="F175" t="str">
            <v>000000000034765</v>
          </cell>
        </row>
        <row r="176">
          <cell r="A176" t="str">
            <v>SBM-009-002-0000024</v>
          </cell>
          <cell r="B176" t="str">
            <v>UNIFORM NEW MODEL 2019</v>
          </cell>
          <cell r="C176" t="str">
            <v>PT. Megah Sukses Trading</v>
          </cell>
          <cell r="D176">
            <v>150</v>
          </cell>
          <cell r="E176" t="str">
            <v>Pcs</v>
          </cell>
          <cell r="F176" t="str">
            <v>000000000034772</v>
          </cell>
        </row>
        <row r="177">
          <cell r="A177" t="str">
            <v>SBM-007-001-0007799</v>
          </cell>
          <cell r="B177" t="str">
            <v>RENTAL FORKLIFT DIESEL 3TON (NEW) TOYOTA</v>
          </cell>
          <cell r="C177" t="str">
            <v>PT. KIANIS PRATAMA</v>
          </cell>
          <cell r="D177">
            <v>35</v>
          </cell>
          <cell r="E177" t="str">
            <v>Unit</v>
          </cell>
          <cell r="F177" t="str">
            <v>000000000034773</v>
          </cell>
        </row>
        <row r="178">
          <cell r="A178" t="str">
            <v>SBM-009-015-0000005</v>
          </cell>
          <cell r="B178" t="str">
            <v>ROMPI SAFETY MERAH+LOGI K3 DAN MERAH PAN</v>
          </cell>
          <cell r="C178" t="str">
            <v>PT. Amco Multitech</v>
          </cell>
          <cell r="D178">
            <v>3</v>
          </cell>
          <cell r="E178" t="str">
            <v>Pcs</v>
          </cell>
          <cell r="F178" t="str">
            <v>000000000034805</v>
          </cell>
        </row>
        <row r="179">
          <cell r="A179" t="str">
            <v>SBM-009-015-0000005</v>
          </cell>
          <cell r="B179" t="str">
            <v>ROMPI SAFETY MERAH+LOGI K3 DAN MERAH PAN</v>
          </cell>
          <cell r="C179" t="str">
            <v>PT. Amco Multitech</v>
          </cell>
          <cell r="D179">
            <v>3</v>
          </cell>
          <cell r="E179" t="str">
            <v>Pcs</v>
          </cell>
          <cell r="F179" t="str">
            <v>000000000034805</v>
          </cell>
        </row>
        <row r="180">
          <cell r="A180" t="str">
            <v>SBM-004-093-0000008</v>
          </cell>
          <cell r="B180" t="str">
            <v>MONITORING COMPO K3HB-XVA-CPAC11</v>
          </cell>
          <cell r="C180" t="str">
            <v>PT. Elmecon Multi Kencana</v>
          </cell>
          <cell r="D180">
            <v>1</v>
          </cell>
          <cell r="E180" t="str">
            <v>Pcs</v>
          </cell>
          <cell r="F180" t="str">
            <v>000000000034806</v>
          </cell>
        </row>
        <row r="181">
          <cell r="A181" t="str">
            <v>SBM-003-001-0003260</v>
          </cell>
          <cell r="B181" t="str">
            <v>CYLINDRICAL PRX-E2EH-X7D1 2M OMS</v>
          </cell>
          <cell r="C181" t="str">
            <v>PT. Elmecon Multi Kencana</v>
          </cell>
          <cell r="D181">
            <v>4</v>
          </cell>
          <cell r="E181" t="str">
            <v>Unit</v>
          </cell>
          <cell r="F181" t="str">
            <v>000000000034806</v>
          </cell>
        </row>
        <row r="182">
          <cell r="A182" t="str">
            <v>SBM-008-035-0000006</v>
          </cell>
          <cell r="B182" t="str">
            <v>CASE BIWALL 850G WITH WOODEN PALLET</v>
          </cell>
          <cell r="C182" t="str">
            <v>PT. Triwall Indonesia</v>
          </cell>
          <cell r="D182">
            <v>45</v>
          </cell>
          <cell r="E182" t="str">
            <v>Set</v>
          </cell>
          <cell r="F182" t="str">
            <v>000000000034809</v>
          </cell>
        </row>
        <row r="183">
          <cell r="A183" t="str">
            <v>SBM-008-035-0000006</v>
          </cell>
          <cell r="B183" t="str">
            <v>CASE BIWALL 850G WITH WOODEN PALLET</v>
          </cell>
          <cell r="C183" t="str">
            <v>PT. Triwall Indonesia</v>
          </cell>
          <cell r="D183">
            <v>59</v>
          </cell>
          <cell r="E183" t="str">
            <v>Set</v>
          </cell>
          <cell r="F183" t="str">
            <v>000000000034809</v>
          </cell>
        </row>
        <row r="184">
          <cell r="A184" t="str">
            <v>SBM-010-001-0000339</v>
          </cell>
          <cell r="B184" t="str">
            <v>STAMP TRODAT</v>
          </cell>
          <cell r="C184" t="str">
            <v>Cipta Grafika</v>
          </cell>
          <cell r="D184">
            <v>5</v>
          </cell>
          <cell r="E184" t="str">
            <v>Pcs</v>
          </cell>
          <cell r="F184" t="str">
            <v>000000000034815</v>
          </cell>
        </row>
        <row r="185">
          <cell r="A185" t="str">
            <v>SBM-003-138-00000007</v>
          </cell>
          <cell r="B185" t="str">
            <v>PRINTED CIRCUIT BOARD JED-4</v>
          </cell>
          <cell r="C185" t="str">
            <v>Nichidentec Co,. Ltd.</v>
          </cell>
          <cell r="D185">
            <v>1</v>
          </cell>
          <cell r="E185" t="str">
            <v>Pcs</v>
          </cell>
          <cell r="F185" t="str">
            <v>000000000034831</v>
          </cell>
        </row>
        <row r="186">
          <cell r="A186" t="str">
            <v>SBM-007-001-0007787</v>
          </cell>
          <cell r="B186" t="str">
            <v>SPAREPART OVERHEAD CRANE KAMIUCHI HOIST</v>
          </cell>
          <cell r="C186" t="str">
            <v>PT. Sentramas Bangun Makmurindo</v>
          </cell>
          <cell r="D186">
            <v>1</v>
          </cell>
          <cell r="E186" t="str">
            <v>Lot</v>
          </cell>
          <cell r="F186" t="str">
            <v>000000000034834</v>
          </cell>
        </row>
        <row r="187">
          <cell r="A187" t="str">
            <v>SBM-008-036-0000001</v>
          </cell>
          <cell r="B187" t="str">
            <v>BOSELON 103 SHEET 0.08X2600X3300</v>
          </cell>
          <cell r="C187" t="str">
            <v>PT. ACBOS Indonesia</v>
          </cell>
          <cell r="D187">
            <v>400</v>
          </cell>
          <cell r="E187" t="str">
            <v>Pcs</v>
          </cell>
          <cell r="F187" t="str">
            <v>000000000034841</v>
          </cell>
        </row>
        <row r="188">
          <cell r="A188" t="str">
            <v>SBM-009-003-0000002</v>
          </cell>
          <cell r="B188" t="str">
            <v>WORK GLOVE TOWA</v>
          </cell>
          <cell r="C188" t="str">
            <v>PT. Alifindo Mitra Bersama</v>
          </cell>
          <cell r="D188">
            <v>200</v>
          </cell>
          <cell r="E188" t="str">
            <v>Pasang</v>
          </cell>
          <cell r="F188" t="str">
            <v>000000000034842</v>
          </cell>
        </row>
        <row r="189">
          <cell r="A189" t="str">
            <v>SBM-009-018-0000001</v>
          </cell>
          <cell r="B189" t="str">
            <v>ARM SLEEVE BLACK</v>
          </cell>
          <cell r="C189" t="str">
            <v>PT. Danadipa Harapan Sentosa</v>
          </cell>
          <cell r="D189">
            <v>30</v>
          </cell>
          <cell r="E189" t="str">
            <v>Pasang</v>
          </cell>
          <cell r="F189" t="str">
            <v>000000000034844</v>
          </cell>
        </row>
        <row r="190">
          <cell r="A190" t="str">
            <v>SBM-006-001-0002329</v>
          </cell>
          <cell r="B190" t="str">
            <v>IDK201-01-530 #2 HARD PLATE (UPPER) T=25</v>
          </cell>
          <cell r="C190" t="str">
            <v>PT. Shiroi Indonesia</v>
          </cell>
          <cell r="D190">
            <v>1</v>
          </cell>
          <cell r="E190" t="str">
            <v>PCS</v>
          </cell>
          <cell r="F190" t="str">
            <v>000000000034847</v>
          </cell>
        </row>
        <row r="191">
          <cell r="A191" t="str">
            <v>SBM-007-001-0005898</v>
          </cell>
          <cell r="B191" t="str">
            <v>JASA CUCI POLYBOX</v>
          </cell>
          <cell r="C191" t="str">
            <v>PT. Shaka Kreasi Mandiri</v>
          </cell>
          <cell r="D191">
            <v>154</v>
          </cell>
          <cell r="E191" t="str">
            <v>Unit</v>
          </cell>
          <cell r="F191" t="str">
            <v>000000000034848</v>
          </cell>
        </row>
        <row r="192">
          <cell r="A192" t="str">
            <v>SBM-007-001-00032893</v>
          </cell>
          <cell r="B192" t="str">
            <v>MACHINING CRANKSHAFT 2 NR BL</v>
          </cell>
          <cell r="C192" t="str">
            <v>PT. Astra Otoparts Tbk.</v>
          </cell>
          <cell r="D192">
            <v>1</v>
          </cell>
          <cell r="E192" t="str">
            <v>Pcs</v>
          </cell>
          <cell r="F192" t="str">
            <v>000000000034862</v>
          </cell>
        </row>
        <row r="193">
          <cell r="A193" t="str">
            <v>SBM-007-001-00032894</v>
          </cell>
          <cell r="B193" t="str">
            <v>MACHINING CRANKSHAFT 2 NR BU</v>
          </cell>
          <cell r="C193" t="str">
            <v>PT. Astra Otoparts Tbk.</v>
          </cell>
          <cell r="D193">
            <v>1</v>
          </cell>
          <cell r="E193" t="str">
            <v>Pcs</v>
          </cell>
          <cell r="F193" t="str">
            <v>000000000034862</v>
          </cell>
        </row>
        <row r="194">
          <cell r="A194" t="str">
            <v>SBM-007-001-0002437</v>
          </cell>
          <cell r="B194" t="str">
            <v>MACHINING CONNECTING ROD 1NR RL</v>
          </cell>
          <cell r="C194" t="str">
            <v>PT. Astra Otoparts Tbk.</v>
          </cell>
          <cell r="D194">
            <v>1</v>
          </cell>
          <cell r="E194" t="str">
            <v>Pcs</v>
          </cell>
          <cell r="F194" t="str">
            <v>000000000034862</v>
          </cell>
        </row>
        <row r="195">
          <cell r="A195" t="str">
            <v>SBM-007-001-0003286</v>
          </cell>
          <cell r="B195" t="str">
            <v>MACHINING CONNECTING ROD 1NR BL</v>
          </cell>
          <cell r="C195" t="str">
            <v>PT. Astra Otoparts Tbk.</v>
          </cell>
          <cell r="D195">
            <v>1</v>
          </cell>
          <cell r="E195" t="str">
            <v>Pcs</v>
          </cell>
          <cell r="F195" t="str">
            <v>000000000034862</v>
          </cell>
        </row>
        <row r="196">
          <cell r="A196" t="str">
            <v>SBM-007-001-0004136</v>
          </cell>
          <cell r="B196" t="str">
            <v>MACHINING CONNECTING ROD 092Y ZR RL</v>
          </cell>
          <cell r="C196" t="str">
            <v>PT. Astra Otoparts Tbk.</v>
          </cell>
          <cell r="D196">
            <v>1</v>
          </cell>
          <cell r="E196" t="str">
            <v>Pcs</v>
          </cell>
          <cell r="F196" t="str">
            <v>000000000034862</v>
          </cell>
        </row>
        <row r="197">
          <cell r="A197" t="str">
            <v>SBM-007-001-0004135</v>
          </cell>
          <cell r="B197" t="str">
            <v>MACHINING CONNECTING ROD 092Y ZR RU</v>
          </cell>
          <cell r="C197" t="str">
            <v>PT. Astra Otoparts Tbk.</v>
          </cell>
          <cell r="D197">
            <v>1</v>
          </cell>
          <cell r="E197" t="str">
            <v>Pcs</v>
          </cell>
          <cell r="F197" t="str">
            <v>000000000034862</v>
          </cell>
        </row>
        <row r="198">
          <cell r="A198" t="str">
            <v>SBM-007-001-0007833</v>
          </cell>
          <cell r="B198" t="str">
            <v>MANUFACTURE &amp; INSTALL RAIL BURRY CONVEYO</v>
          </cell>
          <cell r="C198" t="str">
            <v>PT. Afour Era Wijaya</v>
          </cell>
          <cell r="D198">
            <v>1</v>
          </cell>
          <cell r="E198" t="str">
            <v>Lot</v>
          </cell>
          <cell r="F198" t="str">
            <v>000000000034864</v>
          </cell>
        </row>
        <row r="199">
          <cell r="A199" t="str">
            <v>SBM-007-001-0007208</v>
          </cell>
          <cell r="B199" t="str">
            <v>PREVENTIVE CONVEYOR BURRY 4500TAP</v>
          </cell>
          <cell r="C199" t="str">
            <v>PT SEKAWAN WIJAYA TEKNIK</v>
          </cell>
          <cell r="D199">
            <v>1</v>
          </cell>
          <cell r="E199" t="str">
            <v>Lot</v>
          </cell>
          <cell r="F199" t="str">
            <v>000000000034869</v>
          </cell>
        </row>
        <row r="200">
          <cell r="A200" t="str">
            <v>SBM-007-001-0007210</v>
          </cell>
          <cell r="B200" t="str">
            <v>PREVENTIVE CONVEYOR BURRY 2500TAP</v>
          </cell>
          <cell r="C200" t="str">
            <v>PT SEKAWAN WIJAYA TEKNIK</v>
          </cell>
          <cell r="D200">
            <v>1</v>
          </cell>
          <cell r="E200" t="str">
            <v>Lot</v>
          </cell>
          <cell r="F200" t="str">
            <v>000000000034870</v>
          </cell>
        </row>
        <row r="201">
          <cell r="A201" t="str">
            <v>SBM-007-001-0007777</v>
          </cell>
          <cell r="B201" t="str">
            <v>SERVICE JAM DIGITAL (1)</v>
          </cell>
          <cell r="C201" t="str">
            <v>PT. LINTAS TOMINI MANDIRI</v>
          </cell>
          <cell r="D201">
            <v>1</v>
          </cell>
          <cell r="E201" t="str">
            <v>Lot</v>
          </cell>
          <cell r="F201" t="str">
            <v>000000000034881</v>
          </cell>
        </row>
        <row r="202">
          <cell r="A202" t="str">
            <v>SBM-007-001-0007778</v>
          </cell>
          <cell r="B202" t="str">
            <v>SERVICE JAM DIGITAL (2)</v>
          </cell>
          <cell r="C202" t="str">
            <v>PT. LINTAS TOMINI MANDIRI</v>
          </cell>
          <cell r="D202">
            <v>1</v>
          </cell>
          <cell r="E202" t="str">
            <v>Lot</v>
          </cell>
          <cell r="F202" t="str">
            <v>000000000034881</v>
          </cell>
        </row>
        <row r="203">
          <cell r="A203" t="str">
            <v>SBM-003-001-0000481</v>
          </cell>
          <cell r="B203" t="str">
            <v>CONNECTING ROD BOTTOM L TYPE</v>
          </cell>
          <cell r="C203" t="str">
            <v>Sumitomo Heavy Industries, Ltd</v>
          </cell>
          <cell r="D203">
            <v>3</v>
          </cell>
          <cell r="E203" t="str">
            <v>Pcs</v>
          </cell>
          <cell r="F203" t="str">
            <v>000000000034882</v>
          </cell>
        </row>
        <row r="204">
          <cell r="A204" t="str">
            <v>SBM-004-089-0000127</v>
          </cell>
          <cell r="B204" t="str">
            <v>AIR IMPACT WRENCH 1/2" ITON MDL T121</v>
          </cell>
          <cell r="C204" t="str">
            <v>PT. Sumbertama Jaya Teknik</v>
          </cell>
          <cell r="D204">
            <v>1</v>
          </cell>
          <cell r="E204" t="str">
            <v>EA</v>
          </cell>
          <cell r="F204" t="str">
            <v>000000000034895</v>
          </cell>
        </row>
        <row r="205">
          <cell r="A205" t="str">
            <v>SBM-010-001-0001039</v>
          </cell>
          <cell r="B205" t="str">
            <v>BATERAI CR2032 ENERGIZER</v>
          </cell>
          <cell r="C205" t="str">
            <v>PT. Wahana Karya Solusi</v>
          </cell>
          <cell r="D205">
            <v>25</v>
          </cell>
          <cell r="E205" t="str">
            <v>PCS</v>
          </cell>
          <cell r="F205" t="str">
            <v>000000000034897</v>
          </cell>
        </row>
        <row r="206">
          <cell r="A206" t="str">
            <v>SBM-007-001-0007886</v>
          </cell>
          <cell r="B206" t="str">
            <v>TRAINING MANAJEMEN PRODUKSI</v>
          </cell>
          <cell r="C206" t="str">
            <v>PT DWITAMA KREATIF ASIA</v>
          </cell>
          <cell r="D206">
            <v>1</v>
          </cell>
          <cell r="E206" t="str">
            <v>day</v>
          </cell>
          <cell r="F206" t="str">
            <v>000000000034900</v>
          </cell>
        </row>
        <row r="207">
          <cell r="A207" t="str">
            <v>SBM-001-009-0000045</v>
          </cell>
          <cell r="B207" t="str">
            <v>AQUACOAT NO.2</v>
          </cell>
          <cell r="C207" t="str">
            <v>PT. Moresco Indonesia</v>
          </cell>
          <cell r="D207">
            <v>10</v>
          </cell>
          <cell r="E207" t="str">
            <v>Unit</v>
          </cell>
          <cell r="F207" t="str">
            <v>000000000034901</v>
          </cell>
        </row>
        <row r="208">
          <cell r="A208" t="str">
            <v>SBM-003-001-0003340</v>
          </cell>
          <cell r="B208" t="str">
            <v>CUSTOM BOX KIOSK + LACI KEYBOARD</v>
          </cell>
          <cell r="C208" t="str">
            <v>CV ARTHA JAYA TEKNIK</v>
          </cell>
          <cell r="D208">
            <v>1</v>
          </cell>
          <cell r="E208" t="str">
            <v>Set</v>
          </cell>
          <cell r="F208" t="str">
            <v>000000000034904</v>
          </cell>
        </row>
        <row r="209">
          <cell r="A209" t="str">
            <v>SBM-003-001-0003342</v>
          </cell>
          <cell r="B209" t="str">
            <v>MONITOR TOUCHSCREEN 22 INCH</v>
          </cell>
          <cell r="C209" t="str">
            <v>CV ARTHA JAYA TEKNIK</v>
          </cell>
          <cell r="D209">
            <v>1</v>
          </cell>
          <cell r="E209" t="str">
            <v>Unit</v>
          </cell>
          <cell r="F209" t="str">
            <v>000000000034904</v>
          </cell>
        </row>
        <row r="210">
          <cell r="A210" t="str">
            <v>SBM-004-001-0001478</v>
          </cell>
          <cell r="B210" t="str">
            <v>TIG WELDING ROD KENNAMETAL CO-BASE STL</v>
          </cell>
          <cell r="C210" t="str">
            <v>PT. Yontomo Sukses Abadi</v>
          </cell>
          <cell r="D210">
            <v>10</v>
          </cell>
          <cell r="E210" t="str">
            <v>Kg</v>
          </cell>
          <cell r="F210" t="str">
            <v>000000000034917</v>
          </cell>
        </row>
        <row r="211">
          <cell r="A211" t="str">
            <v>SBM-004-001-0001137</v>
          </cell>
          <cell r="B211" t="str">
            <v>HASHIMOTO CLOTCH E20150P : FILTER</v>
          </cell>
          <cell r="C211" t="str">
            <v>PT. Yamazen Indonesia</v>
          </cell>
          <cell r="D211">
            <v>1</v>
          </cell>
          <cell r="E211" t="str">
            <v>PCS</v>
          </cell>
          <cell r="F211" t="str">
            <v>000000000034918</v>
          </cell>
        </row>
        <row r="212">
          <cell r="A212" t="str">
            <v>SBM-006-001-0002180</v>
          </cell>
          <cell r="B212" t="str">
            <v>IDK201-01-531 #2.3 HARD PLATE (LOWER) T=</v>
          </cell>
          <cell r="C212" t="str">
            <v>PT. Shiroi Indonesia</v>
          </cell>
          <cell r="D212">
            <v>1</v>
          </cell>
          <cell r="E212" t="str">
            <v>PCS</v>
          </cell>
          <cell r="F212" t="str">
            <v>000000000034921</v>
          </cell>
        </row>
        <row r="213">
          <cell r="A213" t="str">
            <v>SBM-006-001-0000888</v>
          </cell>
          <cell r="B213" t="str">
            <v>#2 UPPER KNOCK DOWN PIN IDH201-2004-900</v>
          </cell>
          <cell r="C213" t="str">
            <v>PT. Shiroi Indonesia</v>
          </cell>
          <cell r="D213">
            <v>10</v>
          </cell>
          <cell r="E213" t="str">
            <v>Pcs</v>
          </cell>
          <cell r="F213" t="str">
            <v>000000000034921</v>
          </cell>
        </row>
        <row r="214">
          <cell r="A214" t="str">
            <v>SBM-009-006-0000013</v>
          </cell>
          <cell r="B214" t="str">
            <v>SAFETY SHOES TYPE ST1022 D-6 BLACK SIMON</v>
          </cell>
          <cell r="C214" t="str">
            <v>PT. Amco Multitech</v>
          </cell>
          <cell r="D214">
            <v>1</v>
          </cell>
          <cell r="E214" t="str">
            <v>Pasang</v>
          </cell>
          <cell r="F214" t="str">
            <v>000000000034931</v>
          </cell>
        </row>
        <row r="215">
          <cell r="A215" t="str">
            <v>SBM-003-152-00000001</v>
          </cell>
          <cell r="B215" t="str">
            <v>COUPLING HANGER A4 2243B A-13602628</v>
          </cell>
          <cell r="C215" t="str">
            <v>PT. Multiple Varindo</v>
          </cell>
          <cell r="D215">
            <v>1</v>
          </cell>
          <cell r="E215" t="str">
            <v>Pcs</v>
          </cell>
          <cell r="F215" t="str">
            <v>000000000034936</v>
          </cell>
        </row>
        <row r="216">
          <cell r="A216" t="str">
            <v>SBM-003-019-0000008</v>
          </cell>
          <cell r="B216" t="str">
            <v>HOOK SHB E1162E</v>
          </cell>
          <cell r="C216" t="str">
            <v>PT. Multiple Varindo</v>
          </cell>
          <cell r="D216">
            <v>1</v>
          </cell>
          <cell r="E216" t="str">
            <v>Pcs</v>
          </cell>
          <cell r="F216" t="str">
            <v>000000000034936</v>
          </cell>
        </row>
        <row r="217">
          <cell r="A217" t="str">
            <v>SBM-002-003-0000002</v>
          </cell>
          <cell r="B217" t="str">
            <v>REFILL GAS 50KG</v>
          </cell>
          <cell r="C217" t="str">
            <v>PT. Sadikun LPG Ritel Karawang</v>
          </cell>
          <cell r="D217">
            <v>2</v>
          </cell>
          <cell r="E217" t="str">
            <v>Cylinder</v>
          </cell>
          <cell r="F217" t="str">
            <v>000000000034941</v>
          </cell>
        </row>
        <row r="218">
          <cell r="A218" t="str">
            <v>SBM-001-003-0000005</v>
          </cell>
          <cell r="B218" t="str">
            <v>SUPER KEEP AR100K ANTI COROSIVE</v>
          </cell>
          <cell r="C218" t="str">
            <v>PT. Amco Multitech</v>
          </cell>
          <cell r="D218">
            <v>5</v>
          </cell>
          <cell r="E218" t="str">
            <v>Unit</v>
          </cell>
          <cell r="F218" t="str">
            <v>000000000034944</v>
          </cell>
        </row>
        <row r="219">
          <cell r="A219" t="str">
            <v>SBM-003-012-0000698</v>
          </cell>
          <cell r="B219" t="str">
            <v>THT SPRING TR TR26X110</v>
          </cell>
          <cell r="C219" t="str">
            <v>PT. Misumi Indonesia</v>
          </cell>
          <cell r="D219">
            <v>27</v>
          </cell>
          <cell r="E219" t="str">
            <v>Pcs</v>
          </cell>
          <cell r="F219" t="str">
            <v>000000000034947</v>
          </cell>
        </row>
        <row r="220">
          <cell r="A220" t="str">
            <v>SBM-010-003-0000777</v>
          </cell>
          <cell r="B220" t="str">
            <v>AIR AVION KEMASAN GALLON (ISI 19 LITER)</v>
          </cell>
          <cell r="C220" t="str">
            <v>PT. OASIS WATERS INTERNATIONAL</v>
          </cell>
          <cell r="D220">
            <v>109</v>
          </cell>
          <cell r="E220" t="str">
            <v>GALON</v>
          </cell>
          <cell r="F220" t="str">
            <v>000000000034948</v>
          </cell>
        </row>
        <row r="221">
          <cell r="A221" t="str">
            <v>SBM-009-002-0000003</v>
          </cell>
          <cell r="B221" t="str">
            <v>UNIFORM</v>
          </cell>
          <cell r="C221" t="str">
            <v>PT. Megah Sukses Trading</v>
          </cell>
          <cell r="D221">
            <v>200</v>
          </cell>
          <cell r="E221" t="str">
            <v>Pcs</v>
          </cell>
          <cell r="F221" t="str">
            <v>000000000034950</v>
          </cell>
        </row>
        <row r="222">
          <cell r="A222" t="str">
            <v>SBM-007-001-0002239</v>
          </cell>
          <cell r="B222" t="str">
            <v>CARBIDE TAPER BALLENDMILLR4X12X55X1X125L</v>
          </cell>
          <cell r="C222" t="str">
            <v>PT. Katsuyamaseiki KKB Indonesia</v>
          </cell>
          <cell r="D222">
            <v>15</v>
          </cell>
          <cell r="E222" t="str">
            <v>Pcs</v>
          </cell>
          <cell r="F222" t="str">
            <v>000000000034951</v>
          </cell>
        </row>
        <row r="223">
          <cell r="A223" t="str">
            <v>SBM-009-005-0000001</v>
          </cell>
          <cell r="B223" t="str">
            <v>MASKER TALI KUPING</v>
          </cell>
          <cell r="C223" t="str">
            <v>PT. Alifindo Mitra Bersama</v>
          </cell>
          <cell r="D223">
            <v>50</v>
          </cell>
          <cell r="E223" t="str">
            <v>PAK</v>
          </cell>
          <cell r="F223" t="str">
            <v>000000000034953</v>
          </cell>
        </row>
        <row r="224">
          <cell r="A224" t="str">
            <v>SBM-004-089-0000098</v>
          </cell>
          <cell r="B224" t="str">
            <v>NIPPLE DOUBLE DRAT MC 8MMX1/4 SS 316</v>
          </cell>
          <cell r="C224" t="str">
            <v>PT. Pelita Karya Suplindo</v>
          </cell>
          <cell r="D224">
            <v>1</v>
          </cell>
          <cell r="E224" t="str">
            <v>PCS</v>
          </cell>
          <cell r="F224" t="str">
            <v>000000000034957</v>
          </cell>
        </row>
        <row r="225">
          <cell r="A225" t="str">
            <v>SBM-004-089-0000098</v>
          </cell>
          <cell r="B225" t="str">
            <v>NIPPLE DOUBLE DRAT MC 8MMX1/4 SS 316</v>
          </cell>
          <cell r="C225" t="str">
            <v>PT. Pelita Karya Suplindo</v>
          </cell>
          <cell r="D225">
            <v>4</v>
          </cell>
          <cell r="E225" t="str">
            <v>PCS</v>
          </cell>
          <cell r="F225" t="str">
            <v>000000000034957</v>
          </cell>
        </row>
        <row r="226">
          <cell r="A226" t="str">
            <v>SBM-005-049-0000002</v>
          </cell>
          <cell r="B226" t="str">
            <v>GLYCERINE BATH TYPE PRESSURE GAUGE GV55</v>
          </cell>
          <cell r="C226" t="str">
            <v>PT. Surya Sarana Dinamika</v>
          </cell>
          <cell r="D226">
            <v>2</v>
          </cell>
          <cell r="E226" t="str">
            <v>Pcs</v>
          </cell>
          <cell r="F226" t="str">
            <v>000000000034961</v>
          </cell>
        </row>
        <row r="227">
          <cell r="A227" t="str">
            <v>SBM-005-049-0000002</v>
          </cell>
          <cell r="B227" t="str">
            <v>GLYCERINE BATH TYPE PRESSURE GAUGE GV55</v>
          </cell>
          <cell r="C227" t="str">
            <v>PT. Surya Sarana Dinamika</v>
          </cell>
          <cell r="D227">
            <v>1</v>
          </cell>
          <cell r="E227" t="str">
            <v>Pcs</v>
          </cell>
          <cell r="F227" t="str">
            <v>000000000034961</v>
          </cell>
        </row>
        <row r="228">
          <cell r="A228" t="str">
            <v>SBM-006-020-0000043</v>
          </cell>
          <cell r="B228" t="str">
            <v>2ND STAGE UPPER KD PIN IDH251-1200-900</v>
          </cell>
          <cell r="C228" t="str">
            <v>PT. Shiroi Indonesia</v>
          </cell>
          <cell r="D228">
            <v>5</v>
          </cell>
          <cell r="E228" t="str">
            <v>Pcs</v>
          </cell>
          <cell r="F228" t="str">
            <v>000000000034962</v>
          </cell>
        </row>
        <row r="229">
          <cell r="A229" t="str">
            <v>SBM-006-020-0000044</v>
          </cell>
          <cell r="B229" t="str">
            <v>3RD STAGE UPPER KD PIN IDH251-1200-901</v>
          </cell>
          <cell r="C229" t="str">
            <v>PT. Shiroi Indonesia</v>
          </cell>
          <cell r="D229">
            <v>3</v>
          </cell>
          <cell r="E229" t="str">
            <v>Pcs</v>
          </cell>
          <cell r="F229" t="str">
            <v>000000000034962</v>
          </cell>
        </row>
        <row r="230">
          <cell r="A230" t="str">
            <v>SBM-004-073-0000010</v>
          </cell>
          <cell r="B230" t="str">
            <v>WIRE ROPE SLING DIA 16 2KAKI X 3.5M + MA</v>
          </cell>
          <cell r="C230" t="str">
            <v>PT. Sentramas Bangun Makmurindo</v>
          </cell>
          <cell r="D230">
            <v>1</v>
          </cell>
          <cell r="E230" t="str">
            <v>Set</v>
          </cell>
          <cell r="F230" t="str">
            <v>000000000034963</v>
          </cell>
        </row>
        <row r="231">
          <cell r="A231" t="str">
            <v>SBM-003-001-0000281</v>
          </cell>
          <cell r="B231" t="str">
            <v>FUJI EMERGENCY STOP 30MM, 1NO1NC AR30V2R</v>
          </cell>
          <cell r="C231" t="str">
            <v>PT. Duta Listrik Niaga</v>
          </cell>
          <cell r="D231">
            <v>1</v>
          </cell>
          <cell r="E231" t="str">
            <v>Unit</v>
          </cell>
          <cell r="F231" t="str">
            <v>000000000034966</v>
          </cell>
        </row>
        <row r="232">
          <cell r="A232" t="str">
            <v>SBM-006-001-0002350</v>
          </cell>
          <cell r="B232" t="str">
            <v>TRANSFER HOLDER 1-2500TAP IDTF251-01-780</v>
          </cell>
          <cell r="C232" t="str">
            <v>PT. CAKRAWALA MAJU SEJAHTERA</v>
          </cell>
          <cell r="D232">
            <v>11</v>
          </cell>
          <cell r="E232" t="str">
            <v>PCS</v>
          </cell>
          <cell r="F232" t="str">
            <v>000000000034968</v>
          </cell>
        </row>
        <row r="233">
          <cell r="A233" t="str">
            <v>SBM-006-001-0002351</v>
          </cell>
          <cell r="B233" t="str">
            <v>TRANSFER HOLDER 1-2500TAP IDTF251-01-781</v>
          </cell>
          <cell r="C233" t="str">
            <v>PT. CAKRAWALA MAJU SEJAHTERA</v>
          </cell>
          <cell r="D233">
            <v>5</v>
          </cell>
          <cell r="E233" t="str">
            <v>PCS</v>
          </cell>
          <cell r="F233" t="str">
            <v>000000000034968</v>
          </cell>
        </row>
        <row r="234">
          <cell r="A234" t="str">
            <v>SBM-004-083-0000079</v>
          </cell>
          <cell r="B234" t="str">
            <v>HOSE PU 8X5 (100 M)</v>
          </cell>
          <cell r="C234" t="str">
            <v>PT. Sinar Abadi Multindo</v>
          </cell>
          <cell r="D234">
            <v>1</v>
          </cell>
          <cell r="E234" t="str">
            <v>ROLL</v>
          </cell>
          <cell r="F234" t="str">
            <v>000000000034970</v>
          </cell>
        </row>
        <row r="235">
          <cell r="A235" t="str">
            <v>SBM-003-052-0000009</v>
          </cell>
          <cell r="B235" t="str">
            <v>ORBIT 28-41 CLAMP HOSE  MATERIAL SUS</v>
          </cell>
          <cell r="C235" t="str">
            <v>PT. Sinar Abadi Multindo</v>
          </cell>
          <cell r="D235">
            <v>1</v>
          </cell>
          <cell r="E235" t="str">
            <v>Pcs</v>
          </cell>
          <cell r="F235" t="str">
            <v>000000000034970</v>
          </cell>
        </row>
        <row r="236">
          <cell r="A236" t="str">
            <v>SBM-006-001-0001946</v>
          </cell>
          <cell r="B236" t="str">
            <v>F4-1 HOUSING</v>
          </cell>
          <cell r="C236" t="str">
            <v>PT. Shiroi Indonesia</v>
          </cell>
          <cell r="D236">
            <v>2</v>
          </cell>
          <cell r="E236" t="str">
            <v>Pcs</v>
          </cell>
          <cell r="F236" t="str">
            <v>000000000034972</v>
          </cell>
        </row>
        <row r="237">
          <cell r="A237" t="str">
            <v>SBM-004-021-0000029</v>
          </cell>
          <cell r="B237" t="str">
            <v>PACKING ISI 40</v>
          </cell>
          <cell r="C237" t="str">
            <v>PT. Kiso-Seiko Indonesia</v>
          </cell>
          <cell r="D237">
            <v>1</v>
          </cell>
          <cell r="E237" t="str">
            <v>Pcs</v>
          </cell>
          <cell r="F237" t="str">
            <v>000000000034973</v>
          </cell>
        </row>
        <row r="238">
          <cell r="A238" t="str">
            <v>SBM-004-001-0000205</v>
          </cell>
          <cell r="B238" t="str">
            <v>KH-350R WELDING ROD Φ2.4 KANSAI</v>
          </cell>
          <cell r="C238" t="str">
            <v>PT. Kiso-Seiko Indonesia</v>
          </cell>
          <cell r="D238">
            <v>5</v>
          </cell>
          <cell r="E238" t="str">
            <v>Kg</v>
          </cell>
          <cell r="F238" t="str">
            <v>000000000034973</v>
          </cell>
        </row>
        <row r="239">
          <cell r="A239" t="str">
            <v>SBM-004-022-0000011</v>
          </cell>
          <cell r="B239" t="str">
            <v>FAN UNIT FANUC  A06B-0241-K051</v>
          </cell>
          <cell r="C239" t="str">
            <v>PT. Fanuc Indonesia</v>
          </cell>
          <cell r="D239">
            <v>1</v>
          </cell>
          <cell r="E239" t="str">
            <v>Unit</v>
          </cell>
          <cell r="F239" t="str">
            <v>000000000034975</v>
          </cell>
        </row>
        <row r="240">
          <cell r="A240" t="str">
            <v>SBM-009-006-0000002</v>
          </cell>
          <cell r="B240" t="str">
            <v>SAFETY SHOES TS3017R (TANPA TALI)</v>
          </cell>
          <cell r="C240" t="str">
            <v>PT. Amco Multitech</v>
          </cell>
          <cell r="D240">
            <v>10</v>
          </cell>
          <cell r="E240" t="str">
            <v>Pasang</v>
          </cell>
          <cell r="F240" t="str">
            <v>000000000034977</v>
          </cell>
        </row>
        <row r="241">
          <cell r="A241" t="str">
            <v>SBM-003-154-00000011</v>
          </cell>
          <cell r="B241" t="str">
            <v>FILLTER DUST COLLECTOR NCF-33S 1908</v>
          </cell>
          <cell r="C241" t="str">
            <v>PT. Sinto Indonesia</v>
          </cell>
          <cell r="D241">
            <v>8</v>
          </cell>
          <cell r="E241" t="str">
            <v>Pcs</v>
          </cell>
          <cell r="F241" t="str">
            <v>000000000034981</v>
          </cell>
        </row>
        <row r="242">
          <cell r="A242" t="str">
            <v>SBM-004-038-0000035</v>
          </cell>
          <cell r="B242" t="str">
            <v>DIGITAL PRESSURE SENSOR OP-87280</v>
          </cell>
          <cell r="C242" t="str">
            <v>PT. Keyence Indonesia</v>
          </cell>
          <cell r="D242">
            <v>1</v>
          </cell>
          <cell r="E242" t="str">
            <v>Pcs</v>
          </cell>
          <cell r="F242" t="str">
            <v>000000000034984</v>
          </cell>
        </row>
        <row r="243">
          <cell r="A243" t="str">
            <v>SBM-005-027-0000003</v>
          </cell>
          <cell r="B243" t="str">
            <v>PZ-M51 PHOTOELECTICSENSOR</v>
          </cell>
          <cell r="C243" t="str">
            <v>PT. Keyence Indonesia</v>
          </cell>
          <cell r="D243">
            <v>2</v>
          </cell>
          <cell r="E243" t="str">
            <v>Pcs</v>
          </cell>
          <cell r="F243" t="str">
            <v>000000000034984</v>
          </cell>
        </row>
        <row r="244">
          <cell r="A244" t="str">
            <v>SBM-005-027-0000002</v>
          </cell>
          <cell r="B244" t="str">
            <v>FT-50A INFRARED THERMOSENSOR</v>
          </cell>
          <cell r="C244" t="str">
            <v>PT. Keyence Indonesia</v>
          </cell>
          <cell r="D244">
            <v>1</v>
          </cell>
          <cell r="E244" t="str">
            <v>Pcs</v>
          </cell>
          <cell r="F244" t="str">
            <v>000000000034984</v>
          </cell>
        </row>
        <row r="245">
          <cell r="A245" t="str">
            <v>SBM-005-027-0000001</v>
          </cell>
          <cell r="B245" t="str">
            <v>FT-H50K INFRARED THERMOSENSOR</v>
          </cell>
          <cell r="C245" t="str">
            <v>PT. Keyence Indonesia</v>
          </cell>
          <cell r="D245">
            <v>1</v>
          </cell>
          <cell r="E245" t="str">
            <v>Pcs</v>
          </cell>
          <cell r="F245" t="str">
            <v>000000000034984</v>
          </cell>
        </row>
        <row r="246">
          <cell r="A246" t="str">
            <v>SBM-005-027-0000004</v>
          </cell>
          <cell r="B246" t="str">
            <v>LR-TB2000C LASER SENSOR</v>
          </cell>
          <cell r="C246" t="str">
            <v>PT. Keyence Indonesia</v>
          </cell>
          <cell r="D246">
            <v>1</v>
          </cell>
          <cell r="E246" t="str">
            <v>Pcs</v>
          </cell>
          <cell r="F246" t="str">
            <v>000000000034984</v>
          </cell>
        </row>
        <row r="247">
          <cell r="A247" t="str">
            <v>SBM-005-027-0000003</v>
          </cell>
          <cell r="B247" t="str">
            <v>PZ-M51 PHOTOELECTICSENSOR</v>
          </cell>
          <cell r="C247" t="str">
            <v>PT. Keyence Indonesia</v>
          </cell>
          <cell r="D247">
            <v>2</v>
          </cell>
          <cell r="E247" t="str">
            <v>Pcs</v>
          </cell>
          <cell r="F247" t="str">
            <v>000000000034984</v>
          </cell>
        </row>
        <row r="248">
          <cell r="A248" t="str">
            <v>SBM-005-027-0000004</v>
          </cell>
          <cell r="B248" t="str">
            <v>LR-TB2000C LASER SENSOR</v>
          </cell>
          <cell r="C248" t="str">
            <v>PT. Keyence Indonesia</v>
          </cell>
          <cell r="D248">
            <v>1</v>
          </cell>
          <cell r="E248" t="str">
            <v>Pcs</v>
          </cell>
          <cell r="F248" t="str">
            <v>000000000034984</v>
          </cell>
        </row>
        <row r="249">
          <cell r="A249" t="str">
            <v>SBM-004-038-0000050</v>
          </cell>
          <cell r="B249" t="str">
            <v>INTERCONNECTION CABLE OP-87640</v>
          </cell>
          <cell r="C249" t="str">
            <v>PT. Keyence Indonesia</v>
          </cell>
          <cell r="D249">
            <v>1</v>
          </cell>
          <cell r="E249" t="str">
            <v>Pcs</v>
          </cell>
          <cell r="F249" t="str">
            <v>000000000034984</v>
          </cell>
        </row>
        <row r="250">
          <cell r="A250" t="str">
            <v>SBM-005-027-0000002</v>
          </cell>
          <cell r="B250" t="str">
            <v>FT-50A INFRARED THERMOSENSOR</v>
          </cell>
          <cell r="C250" t="str">
            <v>PT. Keyence Indonesia</v>
          </cell>
          <cell r="D250">
            <v>1</v>
          </cell>
          <cell r="E250" t="str">
            <v>Pcs</v>
          </cell>
          <cell r="F250" t="str">
            <v>000000000034984</v>
          </cell>
        </row>
        <row r="251">
          <cell r="A251" t="str">
            <v>SBM-005-027-0000001</v>
          </cell>
          <cell r="B251" t="str">
            <v>FT-H50K INFRARED THERMOSENSOR</v>
          </cell>
          <cell r="C251" t="str">
            <v>PT. Keyence Indonesia</v>
          </cell>
          <cell r="D251">
            <v>1</v>
          </cell>
          <cell r="E251" t="str">
            <v>Pcs</v>
          </cell>
          <cell r="F251" t="str">
            <v>000000000034984</v>
          </cell>
        </row>
        <row r="252">
          <cell r="A252" t="str">
            <v>SBM-003-001-0003258</v>
          </cell>
          <cell r="B252" t="str">
            <v>MOVEABLE CONVEYOR FOR SCRAP TRANSFER</v>
          </cell>
          <cell r="C252" t="str">
            <v>PT. KAMIGAWA INDONESIA</v>
          </cell>
          <cell r="D252">
            <v>1</v>
          </cell>
          <cell r="E252" t="str">
            <v>Unit</v>
          </cell>
          <cell r="F252" t="str">
            <v>000000000034985</v>
          </cell>
        </row>
        <row r="253">
          <cell r="A253" t="str">
            <v>SBM-007-001-0007866</v>
          </cell>
          <cell r="B253" t="str">
            <v>TA DISPATCH REPLACEMENT LEFT MAIN SLEEVE</v>
          </cell>
          <cell r="C253" t="str">
            <v>Sumitomo Heavy Industries, Ltd</v>
          </cell>
          <cell r="D253">
            <v>1</v>
          </cell>
          <cell r="E253" t="str">
            <v>Lot</v>
          </cell>
          <cell r="F253" t="str">
            <v>000000000034986</v>
          </cell>
        </row>
        <row r="254">
          <cell r="A254" t="str">
            <v>SBM-007-001-0007867</v>
          </cell>
          <cell r="B254" t="str">
            <v>EXPORT PACKING, TRANSPORTATION FEE</v>
          </cell>
          <cell r="C254" t="str">
            <v>Sumitomo Heavy Industries, Ltd</v>
          </cell>
          <cell r="D254">
            <v>1</v>
          </cell>
          <cell r="E254" t="str">
            <v>Lot</v>
          </cell>
          <cell r="F254" t="str">
            <v>000000000034986</v>
          </cell>
        </row>
        <row r="255">
          <cell r="A255" t="str">
            <v>SBM-004-016-0000065</v>
          </cell>
          <cell r="B255" t="str">
            <v>AIR CYLINDER MGPM32-25Z-X867</v>
          </cell>
          <cell r="C255" t="str">
            <v>PT. SMC Automation Indonesia</v>
          </cell>
          <cell r="D255">
            <v>1</v>
          </cell>
          <cell r="E255" t="str">
            <v>Pcs</v>
          </cell>
          <cell r="F255" t="str">
            <v>000000000034987</v>
          </cell>
        </row>
        <row r="256">
          <cell r="A256" t="str">
            <v>SBM-004-016-0000064</v>
          </cell>
          <cell r="B256" t="str">
            <v>AIR CYLINDER MGPM32-125Z-X867</v>
          </cell>
          <cell r="C256" t="str">
            <v>PT. SMC Automation Indonesia</v>
          </cell>
          <cell r="D256">
            <v>1</v>
          </cell>
          <cell r="E256" t="str">
            <v>Pcs</v>
          </cell>
          <cell r="F256" t="str">
            <v>000000000034987</v>
          </cell>
        </row>
        <row r="257">
          <cell r="A257" t="str">
            <v>SBM-003-121-00000003</v>
          </cell>
          <cell r="B257" t="str">
            <v>AIR GRIPPER MHT2-50DZ-A93VL</v>
          </cell>
          <cell r="C257" t="str">
            <v>PT. SMC Automation Indonesia</v>
          </cell>
          <cell r="D257">
            <v>2</v>
          </cell>
          <cell r="E257" t="str">
            <v>EA</v>
          </cell>
          <cell r="F257" t="str">
            <v>000000000034987</v>
          </cell>
        </row>
        <row r="258">
          <cell r="A258" t="str">
            <v>SBM-004-014-0000026</v>
          </cell>
          <cell r="B258" t="str">
            <v>SELENOID VALVE VF5244-5DZD1-02</v>
          </cell>
          <cell r="C258" t="str">
            <v>PT. SMC Automation Indonesia</v>
          </cell>
          <cell r="D258">
            <v>1</v>
          </cell>
          <cell r="E258" t="str">
            <v>Pcs</v>
          </cell>
          <cell r="F258" t="str">
            <v>000000000034987</v>
          </cell>
        </row>
        <row r="259">
          <cell r="A259" t="str">
            <v>SBM-004-016-0000065</v>
          </cell>
          <cell r="B259" t="str">
            <v>AIR CYLINDER MGPM32-25Z-X867</v>
          </cell>
          <cell r="C259" t="str">
            <v>PT. SMC Automation Indonesia</v>
          </cell>
          <cell r="D259">
            <v>1</v>
          </cell>
          <cell r="E259" t="str">
            <v>Pcs</v>
          </cell>
          <cell r="F259" t="str">
            <v>000000000034987</v>
          </cell>
        </row>
        <row r="260">
          <cell r="A260" t="str">
            <v>SBM-004-016-0000036</v>
          </cell>
          <cell r="B260" t="str">
            <v>AIR CYLINDER MGPM12-30Z-M9BWL</v>
          </cell>
          <cell r="C260" t="str">
            <v>PT. SMC Automation Indonesia</v>
          </cell>
          <cell r="D260">
            <v>2</v>
          </cell>
          <cell r="E260" t="str">
            <v>EA</v>
          </cell>
          <cell r="F260" t="str">
            <v>000000000034987</v>
          </cell>
        </row>
        <row r="261">
          <cell r="A261" t="str">
            <v>SBM-004-016-0000065</v>
          </cell>
          <cell r="B261" t="str">
            <v>AIR CYLINDER MGPM32-25Z-X867</v>
          </cell>
          <cell r="C261" t="str">
            <v>PT. SMC Automation Indonesia</v>
          </cell>
          <cell r="D261">
            <v>1</v>
          </cell>
          <cell r="E261" t="str">
            <v>Pcs</v>
          </cell>
          <cell r="F261" t="str">
            <v>000000000034987</v>
          </cell>
        </row>
        <row r="262">
          <cell r="A262" t="str">
            <v>SBM-004-016-0000069</v>
          </cell>
          <cell r="B262" t="str">
            <v>AIR CYLINDER CDA2B40-100Z-M9BWL</v>
          </cell>
          <cell r="C262" t="str">
            <v>PT. SMC Automation Indonesia</v>
          </cell>
          <cell r="D262">
            <v>1</v>
          </cell>
          <cell r="E262" t="str">
            <v>Pcs</v>
          </cell>
          <cell r="F262" t="str">
            <v>000000000034987</v>
          </cell>
        </row>
        <row r="263">
          <cell r="A263" t="str">
            <v>SBM-004-016-0000049</v>
          </cell>
          <cell r="B263" t="str">
            <v>AIR CYLINDER MGPM63-100AZ-M9BWL</v>
          </cell>
          <cell r="C263" t="str">
            <v>PT. SMC Automation Indonesia</v>
          </cell>
          <cell r="D263">
            <v>1</v>
          </cell>
          <cell r="E263" t="str">
            <v>Pcs</v>
          </cell>
          <cell r="F263" t="str">
            <v>000000000034988</v>
          </cell>
        </row>
        <row r="264">
          <cell r="A264" t="str">
            <v>SBM-004-014-0000049</v>
          </cell>
          <cell r="B264" t="str">
            <v>DIRECTIONAL CONTROL VALVE VEX1533-04-BGN</v>
          </cell>
          <cell r="C264" t="str">
            <v>PT. SMC Automation Indonesia</v>
          </cell>
          <cell r="D264">
            <v>1</v>
          </cell>
          <cell r="E264" t="str">
            <v>Pcs</v>
          </cell>
          <cell r="F264" t="str">
            <v>000000000034988</v>
          </cell>
        </row>
        <row r="265">
          <cell r="A265" t="str">
            <v>SBM-004-016-0000118</v>
          </cell>
          <cell r="B265" t="str">
            <v>SELENOID VALVE VF3230-7Z1-02</v>
          </cell>
          <cell r="C265" t="str">
            <v>PT. SMC Automation Indonesia</v>
          </cell>
          <cell r="D265">
            <v>1</v>
          </cell>
          <cell r="E265" t="str">
            <v>EA</v>
          </cell>
          <cell r="F265" t="str">
            <v>000000000034988</v>
          </cell>
        </row>
        <row r="266">
          <cell r="A266" t="str">
            <v>SBM-004-014-0000205</v>
          </cell>
          <cell r="B266" t="str">
            <v>VXB215AA DIRECTIONAL CONTROL VALVE</v>
          </cell>
          <cell r="C266" t="str">
            <v>PT. SMC Automation Indonesia</v>
          </cell>
          <cell r="D266">
            <v>12</v>
          </cell>
          <cell r="E266" t="str">
            <v>EA</v>
          </cell>
          <cell r="F266" t="str">
            <v>000000000034988</v>
          </cell>
        </row>
        <row r="267">
          <cell r="A267" t="str">
            <v>SBM-003-121-00000002</v>
          </cell>
          <cell r="B267" t="str">
            <v>AIR GRIPPER MHSL3-63D-X4</v>
          </cell>
          <cell r="C267" t="str">
            <v>PT. SMC Automation Indonesia</v>
          </cell>
          <cell r="D267">
            <v>1</v>
          </cell>
          <cell r="E267" t="str">
            <v>EA</v>
          </cell>
          <cell r="F267" t="str">
            <v>000000000034988</v>
          </cell>
        </row>
        <row r="268">
          <cell r="A268" t="str">
            <v>SBM-004-016-0000049</v>
          </cell>
          <cell r="B268" t="str">
            <v>AIR CYLINDER MGPM63-100AZ-M9BWL</v>
          </cell>
          <cell r="C268" t="str">
            <v>PT. SMC Automation Indonesia</v>
          </cell>
          <cell r="D268">
            <v>1</v>
          </cell>
          <cell r="E268" t="str">
            <v>Pcs</v>
          </cell>
          <cell r="F268" t="str">
            <v>000000000034988</v>
          </cell>
        </row>
        <row r="269">
          <cell r="A269" t="str">
            <v>SBM-004-014-0000202</v>
          </cell>
          <cell r="B269" t="str">
            <v>SOLENOID VALVE VP3145-065DZA</v>
          </cell>
          <cell r="C269" t="str">
            <v>PT. SMC Automation Indonesia</v>
          </cell>
          <cell r="D269">
            <v>1</v>
          </cell>
          <cell r="E269" t="str">
            <v>Pcs</v>
          </cell>
          <cell r="F269" t="str">
            <v>000000000034988</v>
          </cell>
        </row>
        <row r="270">
          <cell r="A270" t="str">
            <v>SBM-004-014-0000018</v>
          </cell>
          <cell r="B270" t="str">
            <v>VXZ240FGXCC DIRECTIONAL VALVE</v>
          </cell>
          <cell r="C270" t="str">
            <v>PT. SMC Automation Indonesia</v>
          </cell>
          <cell r="D270">
            <v>1</v>
          </cell>
          <cell r="E270" t="str">
            <v>Pcs</v>
          </cell>
          <cell r="F270" t="str">
            <v>000000000034988</v>
          </cell>
        </row>
        <row r="271">
          <cell r="A271" t="str">
            <v>SBM-007-001-0007893</v>
          </cell>
          <cell r="B271" t="str">
            <v>JASA PEMASANGAN MEST CONVEYOR 2000 TAP</v>
          </cell>
          <cell r="C271" t="str">
            <v>PT SEKAWAN WIJAYA TEKNIK</v>
          </cell>
          <cell r="D271">
            <v>1</v>
          </cell>
          <cell r="E271" t="str">
            <v>Lot</v>
          </cell>
          <cell r="F271" t="str">
            <v>000000000034991</v>
          </cell>
        </row>
        <row r="272">
          <cell r="A272" t="str">
            <v>SBM-004-002-0000193</v>
          </cell>
          <cell r="B272" t="str">
            <v>PROXIMITY SENSOR E2E-X3D1-N 10 OMS</v>
          </cell>
          <cell r="C272" t="str">
            <v>PT SUHO ABADI TEKNIK</v>
          </cell>
          <cell r="D272">
            <v>2</v>
          </cell>
          <cell r="E272" t="str">
            <v>Set</v>
          </cell>
          <cell r="F272" t="str">
            <v>000000000034992</v>
          </cell>
        </row>
        <row r="273">
          <cell r="A273" t="str">
            <v>SBM-004-072-0000010</v>
          </cell>
          <cell r="B273" t="str">
            <v>PHOTOELECTRIC SENSOR E3Z-T61K 2M</v>
          </cell>
          <cell r="C273" t="str">
            <v>PT SUHO ABADI TEKNIK</v>
          </cell>
          <cell r="D273">
            <v>1</v>
          </cell>
          <cell r="E273" t="str">
            <v>Pcs</v>
          </cell>
          <cell r="F273" t="str">
            <v>000000000034992</v>
          </cell>
        </row>
        <row r="274">
          <cell r="A274" t="str">
            <v>SBM-004-197-0000010</v>
          </cell>
          <cell r="B274" t="str">
            <v>POWER SUPPLY S8VS-12024</v>
          </cell>
          <cell r="C274" t="str">
            <v>PT SUHO ABADI TEKNIK</v>
          </cell>
          <cell r="D274">
            <v>1</v>
          </cell>
          <cell r="E274" t="str">
            <v>Pcs</v>
          </cell>
          <cell r="F274" t="str">
            <v>000000000034992</v>
          </cell>
        </row>
        <row r="275">
          <cell r="A275" t="str">
            <v>SBM-003-001-0000733</v>
          </cell>
          <cell r="B275" t="str">
            <v>PHOTO ELECTRIC SWITCH E3T-ST12 OMRON</v>
          </cell>
          <cell r="C275" t="str">
            <v>PT SUHO ABADI TEKNIK</v>
          </cell>
          <cell r="D275">
            <v>1</v>
          </cell>
          <cell r="E275" t="str">
            <v>Pcs</v>
          </cell>
          <cell r="F275" t="str">
            <v>000000000034992</v>
          </cell>
        </row>
        <row r="276">
          <cell r="A276" t="str">
            <v>SBM-004-002-0000186</v>
          </cell>
          <cell r="B276" t="str">
            <v>PROXIMITY SENSOR E2E-S05S12-WC-C1 2M</v>
          </cell>
          <cell r="C276" t="str">
            <v>PT SUHO ABADI TEKNIK</v>
          </cell>
          <cell r="D276">
            <v>1</v>
          </cell>
          <cell r="E276" t="str">
            <v>Pcs</v>
          </cell>
          <cell r="F276" t="str">
            <v>000000000034992</v>
          </cell>
        </row>
        <row r="277">
          <cell r="A277" t="str">
            <v>SBM-004-072-0000031</v>
          </cell>
          <cell r="B277" t="str">
            <v>PHOTOELECTRIC SENSOR E3ZR-CT61D 2M</v>
          </cell>
          <cell r="C277" t="str">
            <v>PT SUHO ABADI TEKNIK</v>
          </cell>
          <cell r="D277">
            <v>6</v>
          </cell>
          <cell r="E277" t="str">
            <v>Pcs</v>
          </cell>
          <cell r="F277" t="str">
            <v>000000000034992</v>
          </cell>
        </row>
        <row r="278">
          <cell r="A278" t="str">
            <v>SBM-004-002-0000179</v>
          </cell>
          <cell r="B278" t="str">
            <v>Proximity Sensor : E2E-X7D1-N</v>
          </cell>
          <cell r="C278" t="str">
            <v>PT SUHO ABADI TEKNIK</v>
          </cell>
          <cell r="D278">
            <v>4</v>
          </cell>
          <cell r="E278" t="str">
            <v>Pcs</v>
          </cell>
          <cell r="F278" t="str">
            <v>000000000034992</v>
          </cell>
        </row>
        <row r="279">
          <cell r="A279" t="str">
            <v>SBM-004-002-0000179</v>
          </cell>
          <cell r="B279" t="str">
            <v>Proximity Sensor : E2E-X7D1-N</v>
          </cell>
          <cell r="C279" t="str">
            <v>PT SUHO ABADI TEKNIK</v>
          </cell>
          <cell r="D279">
            <v>1</v>
          </cell>
          <cell r="E279" t="str">
            <v>Pcs</v>
          </cell>
          <cell r="F279" t="str">
            <v>000000000034992</v>
          </cell>
        </row>
        <row r="280">
          <cell r="A280" t="str">
            <v>SBM-003-077-0000007</v>
          </cell>
          <cell r="B280" t="str">
            <v>RELAY MY2N-D2　24VDC</v>
          </cell>
          <cell r="C280" t="str">
            <v>PT SUHO ABADI TEKNIK</v>
          </cell>
          <cell r="D280">
            <v>1</v>
          </cell>
          <cell r="E280" t="str">
            <v>Pcs</v>
          </cell>
          <cell r="F280" t="str">
            <v>000000000034992</v>
          </cell>
        </row>
        <row r="281">
          <cell r="A281" t="str">
            <v>SBM-004-072-0000014</v>
          </cell>
          <cell r="B281" t="str">
            <v>PHOTOELECTRIC SENSOR E39-L104</v>
          </cell>
          <cell r="C281" t="str">
            <v>PT SUHO ABADI TEKNIK</v>
          </cell>
          <cell r="D281">
            <v>1</v>
          </cell>
          <cell r="E281" t="str">
            <v>Pcs</v>
          </cell>
          <cell r="F281" t="str">
            <v>000000000034992</v>
          </cell>
        </row>
        <row r="282">
          <cell r="A282" t="str">
            <v>SBM-004-114-0000007</v>
          </cell>
          <cell r="B282" t="str">
            <v>CONTROL RELAY - LY2N DC 24 BY OMI</v>
          </cell>
          <cell r="C282" t="str">
            <v>PT SUHO ABADI TEKNIK</v>
          </cell>
          <cell r="D282">
            <v>7</v>
          </cell>
          <cell r="E282" t="str">
            <v>Pcs</v>
          </cell>
          <cell r="F282" t="str">
            <v>000000000034992</v>
          </cell>
        </row>
        <row r="283">
          <cell r="A283" t="str">
            <v>SBM-004-072-0000049</v>
          </cell>
          <cell r="B283" t="str">
            <v>PHOTO ELECTRIC SENSOR E3ZM-T61 2M</v>
          </cell>
          <cell r="C283" t="str">
            <v>PT SUHO ABADI TEKNIK</v>
          </cell>
          <cell r="D283">
            <v>1</v>
          </cell>
          <cell r="E283" t="str">
            <v>Pcs</v>
          </cell>
          <cell r="F283" t="str">
            <v>000000000034992</v>
          </cell>
        </row>
        <row r="284">
          <cell r="A284" t="str">
            <v>SBM-004-002-0000051</v>
          </cell>
          <cell r="B284" t="str">
            <v>PROXIMITY SENSOR E2E-X3D1-N OMS</v>
          </cell>
          <cell r="C284" t="str">
            <v>PT SUHO ABADI TEKNIK</v>
          </cell>
          <cell r="D284">
            <v>1</v>
          </cell>
          <cell r="E284" t="str">
            <v>PCS</v>
          </cell>
          <cell r="F284" t="str">
            <v>000000000034992</v>
          </cell>
        </row>
        <row r="285">
          <cell r="A285" t="str">
            <v>SBM-004-114-0000007</v>
          </cell>
          <cell r="B285" t="str">
            <v>CONTROL RELAY - LY2N DC 24 BY OMI</v>
          </cell>
          <cell r="C285" t="str">
            <v>PT SUHO ABADI TEKNIK</v>
          </cell>
          <cell r="D285">
            <v>6</v>
          </cell>
          <cell r="E285" t="str">
            <v>Pcs</v>
          </cell>
          <cell r="F285" t="str">
            <v>000000000034992</v>
          </cell>
        </row>
        <row r="286">
          <cell r="A286" t="str">
            <v>SBM-004-002-0000051</v>
          </cell>
          <cell r="B286" t="str">
            <v>PROXIMITY SENSOR E2E-X3D1-N OMS</v>
          </cell>
          <cell r="C286" t="str">
            <v>PT SUHO ABADI TEKNIK</v>
          </cell>
          <cell r="D286">
            <v>1</v>
          </cell>
          <cell r="E286" t="str">
            <v>PCS</v>
          </cell>
          <cell r="F286" t="str">
            <v>000000000034992</v>
          </cell>
        </row>
        <row r="287">
          <cell r="A287" t="str">
            <v>SBM-003-077-0000034</v>
          </cell>
          <cell r="B287" t="str">
            <v>CONTROL RELAY MY4N-D2-GS DC 24 BY OMZ</v>
          </cell>
          <cell r="C287" t="str">
            <v>PT SUHO ABADI TEKNIK</v>
          </cell>
          <cell r="D287">
            <v>2</v>
          </cell>
          <cell r="E287" t="str">
            <v>Pcs</v>
          </cell>
          <cell r="F287" t="str">
            <v>000000000034992</v>
          </cell>
        </row>
        <row r="288">
          <cell r="A288" t="str">
            <v>SBM-004-002-0000193</v>
          </cell>
          <cell r="B288" t="str">
            <v>PROXIMITY SENSOR E2E-X3D1-N 10 OMS</v>
          </cell>
          <cell r="C288" t="str">
            <v>PT SUHO ABADI TEKNIK</v>
          </cell>
          <cell r="D288">
            <v>3</v>
          </cell>
          <cell r="E288" t="str">
            <v>Set</v>
          </cell>
          <cell r="F288" t="str">
            <v>000000000034992</v>
          </cell>
        </row>
        <row r="289">
          <cell r="A289" t="str">
            <v>SBM-004-002-0000179</v>
          </cell>
          <cell r="B289" t="str">
            <v>Proximity Sensor : E2E-X7D1-N</v>
          </cell>
          <cell r="C289" t="str">
            <v>PT SUHO ABADI TEKNIK</v>
          </cell>
          <cell r="D289">
            <v>1</v>
          </cell>
          <cell r="E289" t="str">
            <v>Pcs</v>
          </cell>
          <cell r="F289" t="str">
            <v>000000000034992</v>
          </cell>
        </row>
        <row r="290">
          <cell r="A290" t="str">
            <v>SBM-004-072-0000004</v>
          </cell>
          <cell r="B290" t="str">
            <v>SENSOR ZX0-LD300A61 2M</v>
          </cell>
          <cell r="C290" t="str">
            <v>PT. Elmecon Multi Kencana</v>
          </cell>
          <cell r="D290">
            <v>1</v>
          </cell>
          <cell r="E290" t="str">
            <v>Pcs</v>
          </cell>
          <cell r="F290" t="str">
            <v>000000000034994</v>
          </cell>
        </row>
        <row r="291">
          <cell r="A291" t="str">
            <v>SBM-003-001-0000722</v>
          </cell>
          <cell r="B291" t="str">
            <v>SOCKET MILLITARY 19PIN</v>
          </cell>
          <cell r="C291" t="str">
            <v>PT. Wahana Karya Solusi</v>
          </cell>
          <cell r="D291">
            <v>2</v>
          </cell>
          <cell r="E291" t="str">
            <v>Pcs</v>
          </cell>
          <cell r="F291" t="str">
            <v>000000000034995</v>
          </cell>
        </row>
        <row r="292">
          <cell r="A292" t="str">
            <v>SBM-010-001-0001102</v>
          </cell>
          <cell r="B292" t="str">
            <v>SPIDOL VAUTO</v>
          </cell>
          <cell r="C292" t="str">
            <v>PT. Wahana Karya Solusi</v>
          </cell>
          <cell r="D292">
            <v>24</v>
          </cell>
          <cell r="E292" t="str">
            <v>PCS</v>
          </cell>
          <cell r="F292" t="str">
            <v>000000000034995</v>
          </cell>
        </row>
        <row r="293">
          <cell r="A293" t="str">
            <v>SBM-004-077-0000008</v>
          </cell>
          <cell r="B293" t="str">
            <v>LIMIT SWITCH WLCA12-LD-N OMRON</v>
          </cell>
          <cell r="C293" t="str">
            <v>PT. Elmecon Multi Kencana</v>
          </cell>
          <cell r="D293">
            <v>2</v>
          </cell>
          <cell r="E293" t="str">
            <v>Pcs</v>
          </cell>
          <cell r="F293" t="str">
            <v>000000000034996</v>
          </cell>
        </row>
        <row r="294">
          <cell r="A294" t="str">
            <v>SBM-006-001-0001946</v>
          </cell>
          <cell r="B294" t="str">
            <v>F4-1 HOUSING</v>
          </cell>
          <cell r="C294" t="str">
            <v>PT. Shiroi Indonesia</v>
          </cell>
          <cell r="D294">
            <v>4</v>
          </cell>
          <cell r="E294" t="str">
            <v>Pcs</v>
          </cell>
          <cell r="F294" t="str">
            <v>000000000034998</v>
          </cell>
        </row>
        <row r="295">
          <cell r="A295" t="str">
            <v>SBM-006-001-0002180</v>
          </cell>
          <cell r="B295" t="str">
            <v>IDK201-01-531 #2.3 HARD PLATE (LOWER) T=</v>
          </cell>
          <cell r="C295" t="str">
            <v>PT. Shiroi Indonesia</v>
          </cell>
          <cell r="D295">
            <v>1</v>
          </cell>
          <cell r="E295" t="str">
            <v>PCS</v>
          </cell>
          <cell r="F295" t="str">
            <v>000000000034998</v>
          </cell>
        </row>
        <row r="296">
          <cell r="A296" t="str">
            <v>SBM-006-001-0000749</v>
          </cell>
          <cell r="B296" t="str">
            <v>5TH STAGE STRIPPER PIN IDK251-07-900</v>
          </cell>
          <cell r="C296" t="str">
            <v>PT. CAKRAWALA MAJU SEJAHTERA</v>
          </cell>
          <cell r="D296">
            <v>8</v>
          </cell>
          <cell r="E296" t="str">
            <v>Pcs</v>
          </cell>
          <cell r="F296" t="str">
            <v>000000000035004</v>
          </cell>
        </row>
        <row r="297">
          <cell r="A297" t="str">
            <v>SBM-006-1200-00-0000007</v>
          </cell>
          <cell r="B297" t="str">
            <v>#5 STRIPPER PIN IDK251-05-902</v>
          </cell>
          <cell r="C297" t="str">
            <v>PT. CAKRAWALA MAJU SEJAHTERA</v>
          </cell>
          <cell r="D297">
            <v>4</v>
          </cell>
          <cell r="E297" t="str">
            <v>Pcs</v>
          </cell>
          <cell r="F297" t="str">
            <v>000000000035004</v>
          </cell>
        </row>
        <row r="298">
          <cell r="A298" t="str">
            <v>SBM-006-049-0000002</v>
          </cell>
          <cell r="B298" t="str">
            <v>#3 LOWER KNOCK OUT PIN IDH201-0004-904</v>
          </cell>
          <cell r="C298" t="str">
            <v>PT. CAKRAWALA MAJU SEJAHTERA</v>
          </cell>
          <cell r="D298">
            <v>30</v>
          </cell>
          <cell r="E298" t="str">
            <v>Pcs</v>
          </cell>
          <cell r="F298" t="str">
            <v>000000000035005</v>
          </cell>
        </row>
        <row r="299">
          <cell r="A299" t="str">
            <v>SBM-006-4001-00-0000010</v>
          </cell>
          <cell r="B299" t="str">
            <v>#2 LOWER KNOCKOUT PIN IDH451-4000-901</v>
          </cell>
          <cell r="C299" t="str">
            <v>PT. CAKRAWALA MAJU SEJAHTERA</v>
          </cell>
          <cell r="D299">
            <v>20</v>
          </cell>
          <cell r="E299" t="str">
            <v>Pcs</v>
          </cell>
          <cell r="F299" t="str">
            <v>000000000035005</v>
          </cell>
        </row>
        <row r="300">
          <cell r="A300" t="str">
            <v>SBM-010-001-0000450</v>
          </cell>
          <cell r="B300" t="str">
            <v>LABEL YUPO  UK. 12X10</v>
          </cell>
          <cell r="C300" t="str">
            <v>PT. Ion Indotek</v>
          </cell>
          <cell r="D300">
            <v>10000</v>
          </cell>
          <cell r="E300" t="str">
            <v>Pcs</v>
          </cell>
          <cell r="F300" t="str">
            <v>000000000035006</v>
          </cell>
        </row>
        <row r="301">
          <cell r="A301" t="str">
            <v>SBM-010-002-0002470</v>
          </cell>
          <cell r="B301" t="str">
            <v>SEKAI KIPAS ANGIN DINDING IWF 3077 30INC</v>
          </cell>
          <cell r="C301" t="str">
            <v>PT. Monotaro Indonesia</v>
          </cell>
          <cell r="D301">
            <v>1</v>
          </cell>
          <cell r="E301" t="str">
            <v>Unit</v>
          </cell>
          <cell r="F301" t="str">
            <v>000000000035010</v>
          </cell>
        </row>
        <row r="302">
          <cell r="A302" t="str">
            <v>SBM-004-017-0000044</v>
          </cell>
          <cell r="B302" t="str">
            <v>TSURUMI SUBMERSIBLE PUMP HSZ2.4S</v>
          </cell>
          <cell r="C302" t="str">
            <v>PT. Eiko Teknik Indonesia</v>
          </cell>
          <cell r="D302">
            <v>1</v>
          </cell>
          <cell r="E302" t="str">
            <v>PCS</v>
          </cell>
          <cell r="F302" t="str">
            <v>000000000035012</v>
          </cell>
        </row>
        <row r="303">
          <cell r="A303" t="str">
            <v>SBM-004-051-0000024</v>
          </cell>
          <cell r="B303" t="str">
            <v>MOTOR GM-SHYF-RH 0.2 KW 4P 200V 50 HZ</v>
          </cell>
          <cell r="C303" t="str">
            <v>PT. Eiko Teknik Indonesia</v>
          </cell>
          <cell r="D303">
            <v>1</v>
          </cell>
          <cell r="E303" t="str">
            <v>Pcs</v>
          </cell>
          <cell r="F303" t="str">
            <v>000000000035013</v>
          </cell>
        </row>
        <row r="304">
          <cell r="A304" t="str">
            <v>SBM-004-051-0000024</v>
          </cell>
          <cell r="B304" t="str">
            <v>MOTOR GM-SHYF-RH 0.2 KW 4P 200V 50 HZ</v>
          </cell>
          <cell r="C304" t="str">
            <v>PT. Eiko Teknik Indonesia</v>
          </cell>
          <cell r="D304">
            <v>1</v>
          </cell>
          <cell r="E304" t="str">
            <v>Pcs</v>
          </cell>
          <cell r="F304" t="str">
            <v>000000000035013</v>
          </cell>
        </row>
        <row r="305">
          <cell r="A305" t="str">
            <v>SBM-003-099-0000008</v>
          </cell>
          <cell r="B305" t="str">
            <v>TOP LINER 3A7520A0055</v>
          </cell>
          <cell r="C305" t="str">
            <v>PT. Sinto Indonesia</v>
          </cell>
          <cell r="D305">
            <v>1</v>
          </cell>
          <cell r="E305" t="str">
            <v>Pcs</v>
          </cell>
          <cell r="F305" t="str">
            <v>000000000035014</v>
          </cell>
        </row>
        <row r="306">
          <cell r="A306" t="str">
            <v>SBM-004-060-0000001</v>
          </cell>
          <cell r="B306" t="str">
            <v>WA1802D DISTRIBUTOR</v>
          </cell>
          <cell r="C306" t="str">
            <v>PT. Sinto Indonesia</v>
          </cell>
          <cell r="D306">
            <v>1</v>
          </cell>
          <cell r="E306" t="str">
            <v>Pcs</v>
          </cell>
          <cell r="F306" t="str">
            <v>000000000035014</v>
          </cell>
        </row>
        <row r="307">
          <cell r="A307" t="str">
            <v>SBM-003-099-0000008</v>
          </cell>
          <cell r="B307" t="str">
            <v>TOP LINER 3A7520A0055</v>
          </cell>
          <cell r="C307" t="str">
            <v>PT. Sinto Indonesia</v>
          </cell>
          <cell r="D307">
            <v>1</v>
          </cell>
          <cell r="E307" t="str">
            <v>Pcs</v>
          </cell>
          <cell r="F307" t="str">
            <v>000000000035014</v>
          </cell>
        </row>
        <row r="308">
          <cell r="A308" t="str">
            <v>SBM-003-099-0000009</v>
          </cell>
          <cell r="B308" t="str">
            <v>CONTROL GAGE WA 2072A</v>
          </cell>
          <cell r="C308" t="str">
            <v>PT. Sinto Indonesia</v>
          </cell>
          <cell r="D308">
            <v>1</v>
          </cell>
          <cell r="E308" t="str">
            <v>Pcs</v>
          </cell>
          <cell r="F308" t="str">
            <v>000000000035014</v>
          </cell>
        </row>
        <row r="309">
          <cell r="A309" t="str">
            <v>SBM-004-060-0000001</v>
          </cell>
          <cell r="B309" t="str">
            <v>WA1802D DISTRIBUTOR</v>
          </cell>
          <cell r="C309" t="str">
            <v>PT. Sinto Indonesia</v>
          </cell>
          <cell r="D309">
            <v>1</v>
          </cell>
          <cell r="E309" t="str">
            <v>Pcs</v>
          </cell>
          <cell r="F309" t="str">
            <v>000000000035014</v>
          </cell>
        </row>
        <row r="310">
          <cell r="A310" t="str">
            <v>SBM-003-099-0000012</v>
          </cell>
          <cell r="B310" t="str">
            <v>CONTROL GAGE WA 1661</v>
          </cell>
          <cell r="C310" t="str">
            <v>PT. Sinto Indonesia</v>
          </cell>
          <cell r="D310">
            <v>1</v>
          </cell>
          <cell r="E310" t="str">
            <v>Pcs</v>
          </cell>
          <cell r="F310" t="str">
            <v>000000000035014</v>
          </cell>
        </row>
        <row r="311">
          <cell r="A311" t="str">
            <v>SBM-003-099-0000008</v>
          </cell>
          <cell r="B311" t="str">
            <v>TOP LINER 3A7520A0055</v>
          </cell>
          <cell r="C311" t="str">
            <v>PT. Sinto Indonesia</v>
          </cell>
          <cell r="D311">
            <v>2</v>
          </cell>
          <cell r="E311" t="str">
            <v>Pcs</v>
          </cell>
          <cell r="F311" t="str">
            <v>000000000035014</v>
          </cell>
        </row>
        <row r="312">
          <cell r="A312" t="str">
            <v>SBM-003-099-0000012</v>
          </cell>
          <cell r="B312" t="str">
            <v>CONTROL GAGE WA 1661</v>
          </cell>
          <cell r="C312" t="str">
            <v>PT. Sinto Indonesia</v>
          </cell>
          <cell r="D312">
            <v>1</v>
          </cell>
          <cell r="E312" t="str">
            <v>Pcs</v>
          </cell>
          <cell r="F312" t="str">
            <v>000000000035014</v>
          </cell>
        </row>
        <row r="313">
          <cell r="A313" t="str">
            <v>SBM-003-034-0000227</v>
          </cell>
          <cell r="B313" t="str">
            <v>HOSE ASSY 3/8"X90CM 2 WIRE +SPRING GUARD</v>
          </cell>
          <cell r="C313" t="str">
            <v>PT. Master Hose Raya</v>
          </cell>
          <cell r="D313">
            <v>2</v>
          </cell>
          <cell r="E313" t="str">
            <v>Pcs</v>
          </cell>
          <cell r="F313" t="str">
            <v>000000000035015</v>
          </cell>
        </row>
        <row r="314">
          <cell r="A314" t="str">
            <v>SBM-003-012-0000467</v>
          </cell>
          <cell r="B314" t="str">
            <v>JOIN NEPPLE GREASE M8</v>
          </cell>
          <cell r="C314" t="str">
            <v>PT. Master Hose Raya</v>
          </cell>
          <cell r="D314">
            <v>1</v>
          </cell>
          <cell r="E314" t="str">
            <v>Pcs</v>
          </cell>
          <cell r="F314" t="str">
            <v>000000000035015</v>
          </cell>
        </row>
        <row r="315">
          <cell r="A315" t="str">
            <v>SBM-004-083-0000063</v>
          </cell>
          <cell r="B315" t="str">
            <v>HOSE MOVING NOZLE 2000T FIT 2GU-16-16X2</v>
          </cell>
          <cell r="C315" t="str">
            <v>PT. Master Hose Raya</v>
          </cell>
          <cell r="D315">
            <v>4</v>
          </cell>
          <cell r="E315" t="str">
            <v>Pcs</v>
          </cell>
          <cell r="F315" t="str">
            <v>000000000035015</v>
          </cell>
        </row>
        <row r="316">
          <cell r="A316" t="str">
            <v>SBM-004-083-0000064</v>
          </cell>
          <cell r="B316" t="str">
            <v>HOSE MOVING NOZLE 2000T BL2-4X205CM</v>
          </cell>
          <cell r="C316" t="str">
            <v>PT. Master Hose Raya</v>
          </cell>
          <cell r="D316">
            <v>6</v>
          </cell>
          <cell r="E316" t="str">
            <v>Pcs</v>
          </cell>
          <cell r="F316" t="str">
            <v>000000000035015</v>
          </cell>
        </row>
        <row r="317">
          <cell r="A317" t="str">
            <v>SBM-004-083-0000065</v>
          </cell>
          <cell r="B317" t="str">
            <v>HOSE MOVING NOZLE 2000T BL4-12X205CM</v>
          </cell>
          <cell r="C317" t="str">
            <v>PT. Master Hose Raya</v>
          </cell>
          <cell r="D317">
            <v>4</v>
          </cell>
          <cell r="E317" t="str">
            <v>Pcs</v>
          </cell>
          <cell r="F317" t="str">
            <v>000000000035015</v>
          </cell>
        </row>
        <row r="318">
          <cell r="A318" t="str">
            <v>SBM-010-004-0001340</v>
          </cell>
          <cell r="B318" t="str">
            <v>HOSE MOVING NOZZLE 2500T</v>
          </cell>
          <cell r="C318" t="str">
            <v>PT. Master Hose Raya</v>
          </cell>
          <cell r="D318">
            <v>1</v>
          </cell>
          <cell r="E318" t="str">
            <v>Set</v>
          </cell>
          <cell r="F318" t="str">
            <v>000000000035015</v>
          </cell>
        </row>
        <row r="319">
          <cell r="A319" t="str">
            <v>SBM-003-034-0000243</v>
          </cell>
          <cell r="B319" t="str">
            <v>HOSE ASSY 1/4"X65 CM BL2-4X65CM</v>
          </cell>
          <cell r="C319" t="str">
            <v>PT. Master Hose Raya</v>
          </cell>
          <cell r="D319">
            <v>2</v>
          </cell>
          <cell r="E319" t="str">
            <v>Pcs</v>
          </cell>
          <cell r="F319" t="str">
            <v>000000000035015</v>
          </cell>
        </row>
        <row r="320">
          <cell r="A320" t="str">
            <v>SBM-003-113-0000004</v>
          </cell>
          <cell r="B320" t="str">
            <v>70H-8R1SD40BN110-AOPCF1-L HYDRAULIC</v>
          </cell>
          <cell r="C320" t="str">
            <v>PT. Kiso-Seiko Indonesia</v>
          </cell>
          <cell r="D320">
            <v>1</v>
          </cell>
          <cell r="E320" t="str">
            <v>Pcs</v>
          </cell>
          <cell r="F320" t="str">
            <v>000000000035016</v>
          </cell>
        </row>
        <row r="321">
          <cell r="A321" t="str">
            <v>SBM-004-014-0000102</v>
          </cell>
          <cell r="B321" t="str">
            <v>HSO-G03-D02F-LZ-21 SELENOID VALVE</v>
          </cell>
          <cell r="C321" t="str">
            <v>PT. Kiso-Seiko Indonesia</v>
          </cell>
          <cell r="D321">
            <v>1</v>
          </cell>
          <cell r="E321" t="str">
            <v>Pcs</v>
          </cell>
          <cell r="F321" t="str">
            <v>000000000035017</v>
          </cell>
        </row>
        <row r="322">
          <cell r="A322" t="str">
            <v>SBM-003-099-0000044</v>
          </cell>
          <cell r="B322" t="str">
            <v>PULLEY BE B0142D PART SHOTBLAST MACHINE</v>
          </cell>
          <cell r="C322" t="str">
            <v>PT. M-Tech Indonesia</v>
          </cell>
          <cell r="D322">
            <v>1</v>
          </cell>
          <cell r="E322" t="str">
            <v>Pcs</v>
          </cell>
          <cell r="F322" t="str">
            <v>000000000035018</v>
          </cell>
        </row>
        <row r="323">
          <cell r="A323" t="str">
            <v>SBM-004-163-0000002</v>
          </cell>
          <cell r="B323" t="str">
            <v>ISOLATOR TAHAN PANAS (3X50X30M)</v>
          </cell>
          <cell r="C323" t="str">
            <v>PT. Asko Teknik Makmur</v>
          </cell>
          <cell r="D323">
            <v>1</v>
          </cell>
          <cell r="E323" t="str">
            <v>ROLL</v>
          </cell>
          <cell r="F323" t="str">
            <v>000000000035019</v>
          </cell>
        </row>
        <row r="324">
          <cell r="A324" t="str">
            <v>SBM-004-001-0000760</v>
          </cell>
          <cell r="B324" t="str">
            <v>HEAT SHRINK (125 DERAJAT VW-1 H (040))</v>
          </cell>
          <cell r="C324" t="str">
            <v>PT. Asko Teknik Makmur</v>
          </cell>
          <cell r="D324">
            <v>20</v>
          </cell>
          <cell r="E324" t="str">
            <v>M</v>
          </cell>
          <cell r="F324" t="str">
            <v>000000000035019</v>
          </cell>
        </row>
        <row r="325">
          <cell r="A325" t="str">
            <v>SBM-004-066-0000034</v>
          </cell>
          <cell r="B325" t="str">
            <v>RAIL BILLET HEATER DIA 87 MID (NEW MODEL</v>
          </cell>
          <cell r="C325" t="str">
            <v>PT. Asko Teknik Makmur</v>
          </cell>
          <cell r="D325">
            <v>2</v>
          </cell>
          <cell r="E325" t="str">
            <v>Pcs</v>
          </cell>
          <cell r="F325" t="str">
            <v>000000000035019</v>
          </cell>
        </row>
        <row r="326">
          <cell r="A326" t="str">
            <v>SBM-004-163-0000002</v>
          </cell>
          <cell r="B326" t="str">
            <v>ISOLATOR TAHAN PANAS (3X50X30M)</v>
          </cell>
          <cell r="C326" t="str">
            <v>PT. Asko Teknik Makmur</v>
          </cell>
          <cell r="D326">
            <v>1</v>
          </cell>
          <cell r="E326" t="str">
            <v>ROLL</v>
          </cell>
          <cell r="F326" t="str">
            <v>000000000035019</v>
          </cell>
        </row>
        <row r="327">
          <cell r="A327" t="str">
            <v>SBM-004-027-0000066</v>
          </cell>
          <cell r="B327" t="str">
            <v>LEVER LOCK COUPLER NITTO (LC-20 TSH)</v>
          </cell>
          <cell r="C327" t="str">
            <v>PT. Asko Teknik Makmur</v>
          </cell>
          <cell r="D327">
            <v>1</v>
          </cell>
          <cell r="E327" t="str">
            <v>Pcs</v>
          </cell>
          <cell r="F327" t="str">
            <v>000000000035019</v>
          </cell>
        </row>
        <row r="328">
          <cell r="A328" t="str">
            <v>SBM-004-066-0000035</v>
          </cell>
          <cell r="B328" t="str">
            <v>RAIL BILLET HEATER DIA 87 OUT (NEW MODEL</v>
          </cell>
          <cell r="C328" t="str">
            <v>PT. Asko Teknik Makmur</v>
          </cell>
          <cell r="D328">
            <v>2</v>
          </cell>
          <cell r="E328" t="str">
            <v>Pcs</v>
          </cell>
          <cell r="F328" t="str">
            <v>000000000035019</v>
          </cell>
        </row>
        <row r="329">
          <cell r="A329" t="str">
            <v>SBM-004-022-0000005</v>
          </cell>
          <cell r="B329" t="str">
            <v>MITSUBISHI MR-PWCNS5</v>
          </cell>
          <cell r="C329" t="str">
            <v>PT. Monotaro Indonesia</v>
          </cell>
          <cell r="D329">
            <v>2</v>
          </cell>
          <cell r="E329" t="str">
            <v>Pcs</v>
          </cell>
          <cell r="F329" t="str">
            <v>000000000035021</v>
          </cell>
        </row>
        <row r="330">
          <cell r="A330" t="str">
            <v>SBM-007-001-0007889</v>
          </cell>
          <cell r="B330" t="str">
            <v>INSTALLATION NAME PLAT, PILOT LAMP &amp; PUS</v>
          </cell>
          <cell r="C330" t="str">
            <v>PT. Denki Engineering</v>
          </cell>
          <cell r="D330">
            <v>1</v>
          </cell>
          <cell r="E330" t="str">
            <v>Lot</v>
          </cell>
          <cell r="F330" t="str">
            <v>000000000035022</v>
          </cell>
        </row>
        <row r="331">
          <cell r="A331" t="str">
            <v>SBM-004-008-0000030</v>
          </cell>
          <cell r="B331" t="str">
            <v>YOSHIDA-PNEUMATIC PENCIL GRINDER-YG-06-1</v>
          </cell>
          <cell r="C331" t="str">
            <v>PT COMINIX INDONESIA</v>
          </cell>
          <cell r="D331">
            <v>1</v>
          </cell>
          <cell r="E331" t="str">
            <v>PCS</v>
          </cell>
          <cell r="F331" t="str">
            <v>000000000035028</v>
          </cell>
        </row>
        <row r="332">
          <cell r="A332" t="str">
            <v>SBM-004-002-0000024</v>
          </cell>
          <cell r="B332" t="str">
            <v>DAIWA RABIN 3MM 6X17X3 WA80 CM55</v>
          </cell>
          <cell r="C332" t="str">
            <v>PT COMINIX INDONESIA</v>
          </cell>
          <cell r="D332">
            <v>200</v>
          </cell>
          <cell r="E332" t="str">
            <v>PCS</v>
          </cell>
          <cell r="F332" t="str">
            <v>000000000035028</v>
          </cell>
        </row>
        <row r="333">
          <cell r="A333" t="str">
            <v>SBM-004-001-0000673</v>
          </cell>
          <cell r="B333" t="str">
            <v>CB2A 003S : CARBIDE BUR</v>
          </cell>
          <cell r="C333" t="str">
            <v>PT. Yamazen Indonesia</v>
          </cell>
          <cell r="D333">
            <v>2</v>
          </cell>
          <cell r="E333" t="str">
            <v>Pcs</v>
          </cell>
          <cell r="F333" t="str">
            <v>000000000035029</v>
          </cell>
        </row>
        <row r="334">
          <cell r="A334" t="str">
            <v>SBM-002-004-0000002</v>
          </cell>
          <cell r="B334" t="str">
            <v>GAS ARGON CAPACITY 7.1M3/CYL</v>
          </cell>
          <cell r="C334" t="str">
            <v>PT. Iwatani Industrial Gas</v>
          </cell>
          <cell r="D334">
            <v>20</v>
          </cell>
          <cell r="E334" t="str">
            <v>Cylinder</v>
          </cell>
          <cell r="F334" t="str">
            <v>000000000035038</v>
          </cell>
        </row>
        <row r="335">
          <cell r="A335" t="str">
            <v>SBM-002-006-0000003</v>
          </cell>
          <cell r="B335" t="str">
            <v>HYDROGEN GAS IN CYLIDER</v>
          </cell>
          <cell r="C335" t="str">
            <v>PT. Iwatani Industrial Gas</v>
          </cell>
          <cell r="D335">
            <v>10</v>
          </cell>
          <cell r="E335" t="str">
            <v>Cylinder</v>
          </cell>
          <cell r="F335" t="str">
            <v>000000000035038</v>
          </cell>
        </row>
        <row r="336">
          <cell r="A336" t="str">
            <v>SBM-004-005-0000005</v>
          </cell>
          <cell r="B336" t="str">
            <v>R5X25X105L ALCRONA BALLENDMILL</v>
          </cell>
          <cell r="C336" t="str">
            <v>PT. Katsuyamaseiki KKB Indonesia</v>
          </cell>
          <cell r="D336">
            <v>20</v>
          </cell>
          <cell r="E336" t="str">
            <v>PCS</v>
          </cell>
          <cell r="F336" t="str">
            <v>000000000035039</v>
          </cell>
        </row>
        <row r="337">
          <cell r="A337" t="str">
            <v>SBM-004-005-0000006</v>
          </cell>
          <cell r="B337" t="str">
            <v>R6X25X110L ALCRONA BALLENDMILL</v>
          </cell>
          <cell r="C337" t="str">
            <v>PT. Katsuyamaseiki KKB Indonesia</v>
          </cell>
          <cell r="D337">
            <v>25</v>
          </cell>
          <cell r="E337" t="str">
            <v>PCS</v>
          </cell>
          <cell r="F337" t="str">
            <v>000000000035039</v>
          </cell>
        </row>
        <row r="338">
          <cell r="A338" t="str">
            <v>SBM-004-005-0000003</v>
          </cell>
          <cell r="B338" t="str">
            <v>R3X20X100L ALCRONA BALLENDMILL</v>
          </cell>
          <cell r="C338" t="str">
            <v>PT. Katsuyamaseiki KKB Indonesia</v>
          </cell>
          <cell r="D338">
            <v>5</v>
          </cell>
          <cell r="E338" t="str">
            <v>Pcs</v>
          </cell>
          <cell r="F338" t="str">
            <v>000000000035039</v>
          </cell>
        </row>
        <row r="339">
          <cell r="A339" t="str">
            <v>SBM-001-003-0000004</v>
          </cell>
          <cell r="B339" t="str">
            <v>BESTCHEM DWF A18 ANTI RUST</v>
          </cell>
          <cell r="C339" t="str">
            <v>PT. Pelangi Lumasindo Sukses</v>
          </cell>
          <cell r="D339">
            <v>2200</v>
          </cell>
          <cell r="E339" t="str">
            <v>Liter</v>
          </cell>
          <cell r="F339" t="str">
            <v>000000000035042</v>
          </cell>
        </row>
        <row r="340">
          <cell r="A340" t="str">
            <v>SBM-002-003-0000002</v>
          </cell>
          <cell r="B340" t="str">
            <v>REFILL GAS 50KG</v>
          </cell>
          <cell r="C340" t="str">
            <v>PT. Sadikun LPG Ritel Karawang</v>
          </cell>
          <cell r="D340">
            <v>5</v>
          </cell>
          <cell r="E340" t="str">
            <v>Cylinder</v>
          </cell>
          <cell r="F340" t="str">
            <v>000000000035045</v>
          </cell>
        </row>
        <row r="341">
          <cell r="A341" t="str">
            <v>SBM-010-004-0001456</v>
          </cell>
          <cell r="B341" t="str">
            <v>BAJU AZMAT</v>
          </cell>
          <cell r="C341" t="str">
            <v>PT. Wahana Karya Solusi</v>
          </cell>
          <cell r="D341">
            <v>5</v>
          </cell>
          <cell r="E341" t="str">
            <v>PCS</v>
          </cell>
          <cell r="F341" t="str">
            <v>000000000035046</v>
          </cell>
        </row>
        <row r="342">
          <cell r="A342" t="str">
            <v>SBM-006-001-0002179</v>
          </cell>
          <cell r="B342" t="str">
            <v>IDK201-01-530 #2 HARD PLATE (UPPER) T=25</v>
          </cell>
          <cell r="C342" t="str">
            <v>PT. Shiroi Indonesia</v>
          </cell>
          <cell r="D342">
            <v>1</v>
          </cell>
          <cell r="E342" t="str">
            <v>PCS</v>
          </cell>
          <cell r="F342" t="str">
            <v>000000000035047</v>
          </cell>
        </row>
        <row r="343">
          <cell r="A343" t="str">
            <v>SBM-006-001-0002180</v>
          </cell>
          <cell r="B343" t="str">
            <v>IDK201-01-531 #2.3 HARD PLATE (LOWER) T=</v>
          </cell>
          <cell r="C343" t="str">
            <v>PT. Shiroi Indonesia</v>
          </cell>
          <cell r="D343">
            <v>2</v>
          </cell>
          <cell r="E343" t="str">
            <v>PCS</v>
          </cell>
          <cell r="F343" t="str">
            <v>000000000035047</v>
          </cell>
        </row>
        <row r="344">
          <cell r="A344" t="str">
            <v>SBM-006-001-0002181</v>
          </cell>
          <cell r="B344" t="str">
            <v>IDK201-01-533 #4HARD PLATE (UPPER) T=25.</v>
          </cell>
          <cell r="C344" t="str">
            <v>PT. Shiroi Indonesia</v>
          </cell>
          <cell r="D344">
            <v>1</v>
          </cell>
          <cell r="E344" t="str">
            <v>PCS</v>
          </cell>
          <cell r="F344" t="str">
            <v>000000000035047</v>
          </cell>
        </row>
        <row r="345">
          <cell r="A345" t="str">
            <v>SBM-006-001-0002182</v>
          </cell>
          <cell r="B345" t="str">
            <v>IDK201-01-534 #4 HARD PLATE (LOWER) T=25</v>
          </cell>
          <cell r="C345" t="str">
            <v>PT. Shiroi Indonesia</v>
          </cell>
          <cell r="D345">
            <v>1</v>
          </cell>
          <cell r="E345" t="str">
            <v>PCS</v>
          </cell>
          <cell r="F345" t="str">
            <v>000000000035047</v>
          </cell>
        </row>
        <row r="346">
          <cell r="A346" t="str">
            <v>SBM-004-073-0000010</v>
          </cell>
          <cell r="B346" t="str">
            <v>WIRE ROPE SLING DIA 16 2KAKI X 3.5M + MA</v>
          </cell>
          <cell r="C346" t="str">
            <v>PT. Sentramas Bangun Makmurindo</v>
          </cell>
          <cell r="D346">
            <v>1</v>
          </cell>
          <cell r="E346" t="str">
            <v>Set</v>
          </cell>
          <cell r="F346" t="str">
            <v>000000000035048</v>
          </cell>
        </row>
        <row r="347">
          <cell r="A347" t="str">
            <v>SBM-001-024-0000001</v>
          </cell>
          <cell r="B347" t="str">
            <v>OIL SHELL TONNA T68</v>
          </cell>
          <cell r="C347" t="str">
            <v>PT. Numacindo KarsaKharisma</v>
          </cell>
          <cell r="D347">
            <v>400</v>
          </cell>
          <cell r="E347" t="str">
            <v>Liter</v>
          </cell>
          <cell r="F347" t="str">
            <v>000000000035049</v>
          </cell>
        </row>
        <row r="348">
          <cell r="A348" t="str">
            <v>SBM-007-001-0001693</v>
          </cell>
          <cell r="B348" t="str">
            <v>HEAT TREATMENT QDH IN UMETOKU</v>
          </cell>
          <cell r="C348" t="str">
            <v>PT. Umetoku Indonesia Engineering</v>
          </cell>
          <cell r="D348">
            <v>25.84</v>
          </cell>
          <cell r="E348" t="str">
            <v>Kg</v>
          </cell>
          <cell r="F348" t="str">
            <v>000000000035058</v>
          </cell>
        </row>
        <row r="349">
          <cell r="A349" t="str">
            <v>SBM-007-001-0001480</v>
          </cell>
          <cell r="B349" t="str">
            <v>HEAT TREATMENT QDN IN UMETOKU</v>
          </cell>
          <cell r="C349" t="str">
            <v>PT. Umetoku Indonesia Engineering</v>
          </cell>
          <cell r="D349">
            <v>372.2</v>
          </cell>
          <cell r="E349" t="str">
            <v>Kg</v>
          </cell>
          <cell r="F349" t="str">
            <v>000000000035058</v>
          </cell>
        </row>
        <row r="350">
          <cell r="A350" t="str">
            <v>SBM-007-001-0003655</v>
          </cell>
          <cell r="B350" t="str">
            <v>HEAT TREATMENT SKD61 IN UMETOKU</v>
          </cell>
          <cell r="C350" t="str">
            <v>PT. Umetoku Indonesia Engineering</v>
          </cell>
          <cell r="D350">
            <v>125.76</v>
          </cell>
          <cell r="E350" t="str">
            <v>Kg</v>
          </cell>
          <cell r="F350" t="str">
            <v>000000000035058</v>
          </cell>
        </row>
        <row r="351">
          <cell r="A351" t="str">
            <v>SBM-007-001-0003299</v>
          </cell>
          <cell r="B351" t="str">
            <v>D60F CRANKSHAFT B.U MACHINING</v>
          </cell>
          <cell r="C351" t="str">
            <v>PT. Umetoku Indonesia Engineering</v>
          </cell>
          <cell r="D351">
            <v>3</v>
          </cell>
          <cell r="E351" t="str">
            <v>Pcs</v>
          </cell>
          <cell r="F351" t="str">
            <v>000000000035058</v>
          </cell>
        </row>
        <row r="352">
          <cell r="A352" t="str">
            <v>SBM-003-091-0000100</v>
          </cell>
          <cell r="B352" t="str">
            <v>ROLLER CHAIN 9N01B000108</v>
          </cell>
          <cell r="C352" t="str">
            <v>PT. Sinto Indonesia</v>
          </cell>
          <cell r="D352">
            <v>1</v>
          </cell>
          <cell r="E352" t="str">
            <v>Pcs</v>
          </cell>
          <cell r="F352" t="str">
            <v>000000000035059</v>
          </cell>
        </row>
        <row r="353">
          <cell r="A353" t="str">
            <v>SBM-003-012-0000514</v>
          </cell>
          <cell r="B353" t="str">
            <v>DOUBLE COUPLER M 16X12 NEFEL TUBE BRASS</v>
          </cell>
          <cell r="C353" t="str">
            <v>PT. Sinar Abadi Multindo</v>
          </cell>
          <cell r="D353">
            <v>1</v>
          </cell>
          <cell r="E353" t="str">
            <v>Pcs</v>
          </cell>
          <cell r="F353" t="str">
            <v>000000000035060</v>
          </cell>
        </row>
        <row r="354">
          <cell r="A354" t="str">
            <v>SBM-003-093-0000072</v>
          </cell>
          <cell r="B354" t="str">
            <v>O-RING SERVICE KIT P&amp;G</v>
          </cell>
          <cell r="C354" t="str">
            <v>PT. Sinar Abadi Multindo</v>
          </cell>
          <cell r="D354">
            <v>1</v>
          </cell>
          <cell r="E354" t="str">
            <v>Pcs</v>
          </cell>
          <cell r="F354" t="str">
            <v>000000000035061</v>
          </cell>
        </row>
        <row r="355">
          <cell r="A355" t="str">
            <v>SBM-007-001-0007636</v>
          </cell>
          <cell r="B355" t="str">
            <v>INRO UPPER 2000</v>
          </cell>
          <cell r="C355" t="str">
            <v>PT. Shiroi Indonesia</v>
          </cell>
          <cell r="D355">
            <v>3</v>
          </cell>
          <cell r="E355" t="str">
            <v>PCS</v>
          </cell>
          <cell r="F355" t="str">
            <v>000000000035062</v>
          </cell>
        </row>
        <row r="356">
          <cell r="A356" t="str">
            <v>SBM-007-001-0007637</v>
          </cell>
          <cell r="B356" t="str">
            <v>INRO LOWER 2000</v>
          </cell>
          <cell r="C356" t="str">
            <v>PT. Shiroi Indonesia</v>
          </cell>
          <cell r="D356">
            <v>2</v>
          </cell>
          <cell r="E356" t="str">
            <v>PCS</v>
          </cell>
          <cell r="F356" t="str">
            <v>000000000035062</v>
          </cell>
        </row>
        <row r="357">
          <cell r="A357" t="str">
            <v>SBM-007-001-0007633</v>
          </cell>
          <cell r="B357" t="str">
            <v>INRO LOCK B 4500 IDK451-02-516</v>
          </cell>
          <cell r="C357" t="str">
            <v>PT. Shiroi Indonesia</v>
          </cell>
          <cell r="D357">
            <v>1</v>
          </cell>
          <cell r="E357" t="str">
            <v>PCS</v>
          </cell>
          <cell r="F357" t="str">
            <v>000000000035062</v>
          </cell>
        </row>
        <row r="358">
          <cell r="A358" t="str">
            <v>SBM-007-001-0007636</v>
          </cell>
          <cell r="B358" t="str">
            <v>INRO UPPER 2000</v>
          </cell>
          <cell r="C358" t="str">
            <v>PT. Shiroi Indonesia</v>
          </cell>
          <cell r="D358">
            <v>9</v>
          </cell>
          <cell r="E358" t="str">
            <v>PCS</v>
          </cell>
          <cell r="F358" t="str">
            <v>000000000035063</v>
          </cell>
        </row>
        <row r="359">
          <cell r="A359" t="str">
            <v>SBM-007-001-0007637</v>
          </cell>
          <cell r="B359" t="str">
            <v>INRO LOWER 2000</v>
          </cell>
          <cell r="C359" t="str">
            <v>PT. Shiroi Indonesia</v>
          </cell>
          <cell r="D359">
            <v>11</v>
          </cell>
          <cell r="E359" t="str">
            <v>PCS</v>
          </cell>
          <cell r="F359" t="str">
            <v>000000000035063</v>
          </cell>
        </row>
        <row r="360">
          <cell r="A360" t="str">
            <v>SBM-007-001-0007633</v>
          </cell>
          <cell r="B360" t="str">
            <v>INRO LOCK B 4500 IDK451-02-516</v>
          </cell>
          <cell r="C360" t="str">
            <v>PT. Shiroi Indonesia</v>
          </cell>
          <cell r="D360">
            <v>1</v>
          </cell>
          <cell r="E360" t="str">
            <v>PCS</v>
          </cell>
          <cell r="F360" t="str">
            <v>000000000035063</v>
          </cell>
        </row>
        <row r="361">
          <cell r="A361" t="str">
            <v>SBM-007-001-0007638</v>
          </cell>
          <cell r="B361" t="str">
            <v>DISCARGING CHUTE 2000 IDCA201-01-231</v>
          </cell>
          <cell r="C361" t="str">
            <v>PT. Shiroi Indonesia</v>
          </cell>
          <cell r="D361">
            <v>3</v>
          </cell>
          <cell r="E361" t="str">
            <v>PCS</v>
          </cell>
          <cell r="F361" t="str">
            <v>000000000035063</v>
          </cell>
        </row>
        <row r="362">
          <cell r="A362" t="str">
            <v>SBM-007-001-0007896</v>
          </cell>
          <cell r="B362" t="str">
            <v>4 MONTHLY MAINTENANCE SERVICE CRANE</v>
          </cell>
          <cell r="C362" t="str">
            <v>PT. Sanki Cranes Indonesia</v>
          </cell>
          <cell r="D362">
            <v>1</v>
          </cell>
          <cell r="E362" t="str">
            <v>Lot</v>
          </cell>
          <cell r="F362" t="str">
            <v>000000000035064</v>
          </cell>
        </row>
        <row r="363">
          <cell r="A363" t="str">
            <v>SBM-007-001-0007903</v>
          </cell>
          <cell r="B363" t="str">
            <v>REPAIR WELDING BOGATA NR C/S #2&amp;3 UPPER</v>
          </cell>
          <cell r="C363" t="str">
            <v>PT. Yontomo Sukses Abadi</v>
          </cell>
          <cell r="D363">
            <v>1</v>
          </cell>
          <cell r="E363" t="str">
            <v>Lot</v>
          </cell>
          <cell r="F363" t="str">
            <v>000000000035065</v>
          </cell>
        </row>
        <row r="364">
          <cell r="A364" t="str">
            <v>SBM-007-001-0007904</v>
          </cell>
          <cell r="B364" t="str">
            <v>REPAIR MACHINING BOGATA NR C/S #2&amp;3 UPPE</v>
          </cell>
          <cell r="C364" t="str">
            <v>PT. Yontomo Sukses Abadi</v>
          </cell>
          <cell r="D364">
            <v>1</v>
          </cell>
          <cell r="E364" t="str">
            <v>Lot</v>
          </cell>
          <cell r="F364" t="str">
            <v>000000000035065</v>
          </cell>
        </row>
        <row r="365">
          <cell r="A365" t="str">
            <v>SBM-007-001-0007905</v>
          </cell>
          <cell r="B365" t="str">
            <v>REPAIR WELDING BOGATA NR C/S #2&amp;3 LOWER</v>
          </cell>
          <cell r="C365" t="str">
            <v>PT. Yontomo Sukses Abadi</v>
          </cell>
          <cell r="D365">
            <v>1</v>
          </cell>
          <cell r="E365" t="str">
            <v>Lot</v>
          </cell>
          <cell r="F365" t="str">
            <v>000000000035066</v>
          </cell>
        </row>
        <row r="366">
          <cell r="A366" t="str">
            <v>SBM-007-001-0007906</v>
          </cell>
          <cell r="B366" t="str">
            <v>REPAIR MACHINING BOGATA NR C/S #2&amp;3 LOWE</v>
          </cell>
          <cell r="C366" t="str">
            <v>PT. Yontomo Sukses Abadi</v>
          </cell>
          <cell r="D366">
            <v>1</v>
          </cell>
          <cell r="E366" t="str">
            <v>Lot</v>
          </cell>
          <cell r="F366" t="str">
            <v>000000000035066</v>
          </cell>
        </row>
        <row r="367">
          <cell r="A367" t="str">
            <v>SBM-010-004-0001456</v>
          </cell>
          <cell r="B367" t="str">
            <v>BAJU AZMAT</v>
          </cell>
          <cell r="C367" t="str">
            <v>PT. Wahana Karya Solusi</v>
          </cell>
          <cell r="D367">
            <v>12</v>
          </cell>
          <cell r="E367" t="str">
            <v>PCS</v>
          </cell>
          <cell r="F367" t="str">
            <v>000000000035067</v>
          </cell>
        </row>
        <row r="368">
          <cell r="A368" t="str">
            <v>SBM-002-010-0000007</v>
          </cell>
          <cell r="B368" t="str">
            <v>MICRO CHECK DEVELOPMENT  (420ML)(00145)</v>
          </cell>
          <cell r="C368" t="str">
            <v>PT. TMG lnternasional lndonesia</v>
          </cell>
          <cell r="D368">
            <v>2</v>
          </cell>
          <cell r="E368" t="str">
            <v>CAN</v>
          </cell>
          <cell r="F368" t="str">
            <v>000000000035068</v>
          </cell>
        </row>
        <row r="369">
          <cell r="A369" t="str">
            <v>SBM-002-010-0000003</v>
          </cell>
          <cell r="B369" t="str">
            <v>TAPPING SPRAY(NET:397G) TAPPING SPRAY</v>
          </cell>
          <cell r="C369" t="str">
            <v>PT. TMG lnternasional lndonesia</v>
          </cell>
          <cell r="D369">
            <v>1</v>
          </cell>
          <cell r="E369" t="str">
            <v>CAN</v>
          </cell>
          <cell r="F369" t="str">
            <v>000000000035068</v>
          </cell>
        </row>
        <row r="370">
          <cell r="A370" t="str">
            <v>SBM-003-035-0000001</v>
          </cell>
          <cell r="B370" t="str">
            <v>COUPLER K3-03SH</v>
          </cell>
          <cell r="C370" t="str">
            <v>PT. Sinar Abadi Multindo</v>
          </cell>
          <cell r="D370">
            <v>2</v>
          </cell>
          <cell r="E370" t="str">
            <v>PCS</v>
          </cell>
          <cell r="F370" t="str">
            <v>000000000035069</v>
          </cell>
        </row>
        <row r="371">
          <cell r="A371" t="str">
            <v>SBM-007-001-0007636</v>
          </cell>
          <cell r="B371" t="str">
            <v>INRO UPPER 2000</v>
          </cell>
          <cell r="C371" t="str">
            <v>PT. Shiroi Indonesia</v>
          </cell>
          <cell r="D371">
            <v>9</v>
          </cell>
          <cell r="E371" t="str">
            <v>PCS</v>
          </cell>
          <cell r="F371" t="str">
            <v>000000000035070</v>
          </cell>
        </row>
        <row r="372">
          <cell r="A372" t="str">
            <v>SBM-007-001-0007637</v>
          </cell>
          <cell r="B372" t="str">
            <v>INRO LOWER 2000</v>
          </cell>
          <cell r="C372" t="str">
            <v>PT. Shiroi Indonesia</v>
          </cell>
          <cell r="D372">
            <v>4</v>
          </cell>
          <cell r="E372" t="str">
            <v>PCS</v>
          </cell>
          <cell r="F372" t="str">
            <v>000000000035070</v>
          </cell>
        </row>
        <row r="373">
          <cell r="A373" t="str">
            <v>SBM-007-001-0007634</v>
          </cell>
          <cell r="B373" t="str">
            <v>INRO LOCK A 4500 IDK451-02-515</v>
          </cell>
          <cell r="C373" t="str">
            <v>PT. Shiroi Indonesia</v>
          </cell>
          <cell r="D373">
            <v>1</v>
          </cell>
          <cell r="E373" t="str">
            <v>PCS</v>
          </cell>
          <cell r="F373" t="str">
            <v>000000000035070</v>
          </cell>
        </row>
        <row r="374">
          <cell r="A374" t="str">
            <v>SBM-004-009-0000041</v>
          </cell>
          <cell r="B374" t="str">
            <v>RS60-2-RP (1PC=10 FT)</v>
          </cell>
          <cell r="C374" t="str">
            <v>PT TSUBAKI INDONESIA MANUFACTURING</v>
          </cell>
          <cell r="D374">
            <v>4</v>
          </cell>
          <cell r="E374" t="str">
            <v>Pcs</v>
          </cell>
          <cell r="F374" t="str">
            <v>000000000035073</v>
          </cell>
        </row>
        <row r="375">
          <cell r="A375" t="str">
            <v>SBM-007-001-0007488</v>
          </cell>
          <cell r="B375" t="str">
            <v>REPAIR DIE CLAMP DEPAN 4500 TAP</v>
          </cell>
          <cell r="C375" t="str">
            <v>PT. Afour Era Wijaya</v>
          </cell>
          <cell r="D375">
            <v>2</v>
          </cell>
          <cell r="E375" t="str">
            <v>Unit</v>
          </cell>
          <cell r="F375" t="str">
            <v>000000000035074</v>
          </cell>
        </row>
        <row r="376">
          <cell r="A376" t="str">
            <v>SBM-007-001-0007489</v>
          </cell>
          <cell r="B376" t="str">
            <v>REPAIR DIE CLAMP BELAKANG 4500 TAP</v>
          </cell>
          <cell r="C376" t="str">
            <v>PT. Afour Era Wijaya</v>
          </cell>
          <cell r="D376">
            <v>2</v>
          </cell>
          <cell r="E376" t="str">
            <v>Unit</v>
          </cell>
          <cell r="F376" t="str">
            <v>000000000035074</v>
          </cell>
        </row>
        <row r="377">
          <cell r="A377" t="str">
            <v>SBM-007-001-0007498</v>
          </cell>
          <cell r="B377" t="str">
            <v>REPAIR DIE CLAMP DEPAN 2500TAP</v>
          </cell>
          <cell r="C377" t="str">
            <v>PT. Afour Era Wijaya</v>
          </cell>
          <cell r="D377">
            <v>1</v>
          </cell>
          <cell r="E377" t="str">
            <v>Lot</v>
          </cell>
          <cell r="F377" t="str">
            <v>000000000035074</v>
          </cell>
        </row>
        <row r="378">
          <cell r="A378" t="str">
            <v>SBM-007-001-0002149</v>
          </cell>
          <cell r="B378" t="str">
            <v>REPAIR PNEUMATIC ROBOT "NACHI"</v>
          </cell>
          <cell r="C378" t="str">
            <v>PT. Afour Era Wijaya</v>
          </cell>
          <cell r="D378">
            <v>2</v>
          </cell>
          <cell r="E378" t="str">
            <v>Unit</v>
          </cell>
          <cell r="F378" t="str">
            <v>000000000035074</v>
          </cell>
        </row>
        <row r="379">
          <cell r="A379" t="str">
            <v>SBM-011-002-0000009</v>
          </cell>
          <cell r="B379" t="str">
            <v>STEEL SHOT SAE-S390</v>
          </cell>
          <cell r="C379" t="str">
            <v>PT. Multiple Varindo</v>
          </cell>
          <cell r="D379">
            <v>2000</v>
          </cell>
          <cell r="E379" t="str">
            <v>Kg</v>
          </cell>
          <cell r="F379" t="str">
            <v>000000000035075</v>
          </cell>
        </row>
        <row r="380">
          <cell r="A380" t="str">
            <v>SBM-010-003-0000018</v>
          </cell>
          <cell r="B380" t="str">
            <v>KAIN MAJUN TUMPUK</v>
          </cell>
          <cell r="C380" t="str">
            <v>CV. Mitra Sejati</v>
          </cell>
          <cell r="D380">
            <v>200</v>
          </cell>
          <cell r="E380" t="str">
            <v>Kg</v>
          </cell>
          <cell r="F380" t="str">
            <v>000000000035076</v>
          </cell>
        </row>
        <row r="381">
          <cell r="A381" t="str">
            <v>SBM-010-003-0000803</v>
          </cell>
          <cell r="B381" t="str">
            <v>TISSUE LIVI ELEGANT TOILET ROLL 238 EVO</v>
          </cell>
          <cell r="C381" t="str">
            <v>CV YASUKATA</v>
          </cell>
          <cell r="D381">
            <v>150</v>
          </cell>
          <cell r="E381" t="str">
            <v>ROLL</v>
          </cell>
          <cell r="F381" t="str">
            <v>000000000035077</v>
          </cell>
        </row>
        <row r="382">
          <cell r="A382" t="str">
            <v>SBM-010-003-0000804</v>
          </cell>
          <cell r="B382" t="str">
            <v>TISSUE LIVI TOWEL</v>
          </cell>
          <cell r="C382" t="str">
            <v>CV YASUKATA</v>
          </cell>
          <cell r="D382">
            <v>20</v>
          </cell>
          <cell r="E382" t="str">
            <v>PCS</v>
          </cell>
          <cell r="F382" t="str">
            <v>000000000035077</v>
          </cell>
        </row>
        <row r="383">
          <cell r="A383" t="str">
            <v>SBM-010-009-0000010</v>
          </cell>
          <cell r="B383" t="str">
            <v>TISSUE TESSA 250SHEET</v>
          </cell>
          <cell r="C383" t="str">
            <v>CV YASUKATA</v>
          </cell>
          <cell r="D383">
            <v>60</v>
          </cell>
          <cell r="E383" t="str">
            <v>PCS</v>
          </cell>
          <cell r="F383" t="str">
            <v>000000000035077</v>
          </cell>
        </row>
        <row r="384">
          <cell r="A384" t="str">
            <v>SBM-010-003-0000802</v>
          </cell>
          <cell r="B384" t="str">
            <v>SABUN COLEK EKONOMI 380GR</v>
          </cell>
          <cell r="C384" t="str">
            <v>CV YASUKATA</v>
          </cell>
          <cell r="D384">
            <v>100</v>
          </cell>
          <cell r="E384" t="str">
            <v>PCS</v>
          </cell>
          <cell r="F384" t="str">
            <v>000000000035077</v>
          </cell>
        </row>
        <row r="385">
          <cell r="A385" t="str">
            <v>SBM-010-001-0000028</v>
          </cell>
          <cell r="B385" t="str">
            <v>BATERAI ALKALINE AA</v>
          </cell>
          <cell r="C385" t="str">
            <v>CV. Wahana Distribusindo Indonesia</v>
          </cell>
          <cell r="D385">
            <v>10</v>
          </cell>
          <cell r="E385" t="str">
            <v>PAK</v>
          </cell>
          <cell r="F385" t="str">
            <v>000000000035080</v>
          </cell>
        </row>
        <row r="386">
          <cell r="A386" t="str">
            <v>SBM-003-001-0003334</v>
          </cell>
          <cell r="B386" t="str">
            <v>KC2163N DRIVE TRAIN ASSY DWG LEFT SIDE M</v>
          </cell>
          <cell r="C386" t="str">
            <v>Sumitomo Heavy Industries, Ltd</v>
          </cell>
          <cell r="D386">
            <v>1</v>
          </cell>
          <cell r="E386" t="str">
            <v>Set</v>
          </cell>
          <cell r="F386" t="str">
            <v>000000000035081</v>
          </cell>
        </row>
        <row r="387">
          <cell r="A387" t="str">
            <v>SBM-007-001-0005901</v>
          </cell>
          <cell r="B387" t="str">
            <v>EXPORT PACKING, TRANSPORTATION FEE, TO C</v>
          </cell>
          <cell r="C387" t="str">
            <v>Sumitomo Heavy Industries, Ltd</v>
          </cell>
          <cell r="D387">
            <v>1</v>
          </cell>
          <cell r="E387" t="str">
            <v>Set</v>
          </cell>
          <cell r="F387" t="str">
            <v>000000000035081</v>
          </cell>
        </row>
        <row r="388">
          <cell r="A388" t="str">
            <v>SBM-001-009-0000024</v>
          </cell>
          <cell r="B388" t="str">
            <v>FUJI SEISAKUSHO SMAF180:FUJIRANDAM</v>
          </cell>
          <cell r="C388" t="str">
            <v>PT. Yamazen Indonesia</v>
          </cell>
          <cell r="D388">
            <v>1</v>
          </cell>
          <cell r="E388" t="str">
            <v>CAN</v>
          </cell>
          <cell r="F388" t="str">
            <v>000000000035082</v>
          </cell>
        </row>
        <row r="389">
          <cell r="A389" t="str">
            <v>SBM-001-007-0000002</v>
          </cell>
          <cell r="B389" t="str">
            <v>MOLY ATTACH</v>
          </cell>
          <cell r="C389" t="str">
            <v>PT. TMG lnternasional lndonesia</v>
          </cell>
          <cell r="D389">
            <v>50</v>
          </cell>
          <cell r="E389" t="str">
            <v>CAN</v>
          </cell>
          <cell r="F389" t="str">
            <v>000000000035083</v>
          </cell>
        </row>
        <row r="390">
          <cell r="A390" t="str">
            <v>SBM-007-001-0003181</v>
          </cell>
          <cell r="B390" t="str">
            <v>REGRINDING + COATING BALLNOSE DIA.12XR6</v>
          </cell>
          <cell r="C390" t="str">
            <v>PT. Sukses Mandiri Teknindo</v>
          </cell>
          <cell r="D390">
            <v>25</v>
          </cell>
          <cell r="E390" t="str">
            <v>Pcs</v>
          </cell>
          <cell r="F390" t="str">
            <v>000000000035084</v>
          </cell>
        </row>
        <row r="391">
          <cell r="A391" t="str">
            <v>SBM-007-001-0005764</v>
          </cell>
          <cell r="B391" t="str">
            <v>MODIFY GROOVING + COATING BALLNOSE DIA.</v>
          </cell>
          <cell r="C391" t="str">
            <v>PT. Sukses Mandiri Teknindo</v>
          </cell>
          <cell r="D391">
            <v>10</v>
          </cell>
          <cell r="E391" t="str">
            <v>Pcs</v>
          </cell>
          <cell r="F391" t="str">
            <v>000000000035084</v>
          </cell>
        </row>
        <row r="392">
          <cell r="A392" t="str">
            <v>SBM-007-001-0005935</v>
          </cell>
          <cell r="B392" t="str">
            <v>EXCHANGE ONLINE (PLAN 1)</v>
          </cell>
          <cell r="C392" t="str">
            <v>PT. SoftwareONE Indonesia</v>
          </cell>
          <cell r="D392">
            <v>1</v>
          </cell>
          <cell r="E392" t="str">
            <v>Lot</v>
          </cell>
          <cell r="F392" t="str">
            <v>000000000035085</v>
          </cell>
        </row>
        <row r="393">
          <cell r="A393" t="str">
            <v>SBM-007-001-0007868</v>
          </cell>
          <cell r="B393" t="str">
            <v>REPLACEMENT SUMITOMO TFPR-4500 LEFT MAIN</v>
          </cell>
          <cell r="C393" t="str">
            <v>PT. SANEI MACHINE SERVICE INDONESIA</v>
          </cell>
          <cell r="D393">
            <v>1</v>
          </cell>
          <cell r="E393" t="str">
            <v>Lot</v>
          </cell>
          <cell r="F393" t="str">
            <v>000000000035086</v>
          </cell>
        </row>
        <row r="394">
          <cell r="A394" t="str">
            <v>SBM-008-018-0000001</v>
          </cell>
          <cell r="B394" t="str">
            <v>WEBBING SLING (CAP.2 TONX2 MTR) SPANSET</v>
          </cell>
          <cell r="C394" t="str">
            <v>PT. SADAR MAKMUR JAYA</v>
          </cell>
          <cell r="D394">
            <v>2</v>
          </cell>
          <cell r="E394" t="str">
            <v>Unit</v>
          </cell>
          <cell r="F394" t="str">
            <v>000000000035087</v>
          </cell>
        </row>
        <row r="395">
          <cell r="A395" t="str">
            <v>SBM-003-012-0000334</v>
          </cell>
          <cell r="B395" t="str">
            <v>BOLT L M16 X 70 MATERIAL BAJA HITAM 12.9</v>
          </cell>
          <cell r="C395" t="str">
            <v>PT. SADAR MAKMUR JAYA</v>
          </cell>
          <cell r="D395">
            <v>50</v>
          </cell>
          <cell r="E395" t="str">
            <v>Pcs</v>
          </cell>
          <cell r="F395" t="str">
            <v>000000000035087</v>
          </cell>
        </row>
        <row r="396">
          <cell r="A396" t="str">
            <v>SBM-003-012-0000063</v>
          </cell>
          <cell r="B396" t="str">
            <v>M6X15 MATERIAL BAJA HITAM (12.9)</v>
          </cell>
          <cell r="C396" t="str">
            <v>PT. SADAR MAKMUR JAYA</v>
          </cell>
          <cell r="D396">
            <v>50</v>
          </cell>
          <cell r="E396" t="str">
            <v>PCS</v>
          </cell>
          <cell r="F396" t="str">
            <v>000000000035087</v>
          </cell>
        </row>
        <row r="397">
          <cell r="A397" t="str">
            <v>SBM-003-012-0000078</v>
          </cell>
          <cell r="B397" t="str">
            <v>M10X20 MATERIAL BAJA HITAM (12.9)</v>
          </cell>
          <cell r="C397" t="str">
            <v>PT. SADAR MAKMUR JAYA</v>
          </cell>
          <cell r="D397">
            <v>50</v>
          </cell>
          <cell r="E397" t="str">
            <v>PCS</v>
          </cell>
          <cell r="F397" t="str">
            <v>000000000035087</v>
          </cell>
        </row>
        <row r="398">
          <cell r="A398" t="str">
            <v>SBM-003-012-0000079</v>
          </cell>
          <cell r="B398" t="str">
            <v>M10X25 MATERIAL BAJA HITAM (12.9)</v>
          </cell>
          <cell r="C398" t="str">
            <v>PT. SADAR MAKMUR JAYA</v>
          </cell>
          <cell r="D398">
            <v>50</v>
          </cell>
          <cell r="E398" t="str">
            <v>PCS</v>
          </cell>
          <cell r="F398" t="str">
            <v>000000000035087</v>
          </cell>
        </row>
        <row r="399">
          <cell r="A399" t="str">
            <v>SBM-003-012-0000126</v>
          </cell>
          <cell r="B399" t="str">
            <v>M24X90 MATERIAL BAJA HITAM (12.9)</v>
          </cell>
          <cell r="C399" t="str">
            <v>PT. SADAR MAKMUR JAYA</v>
          </cell>
          <cell r="D399">
            <v>50</v>
          </cell>
          <cell r="E399" t="str">
            <v>PCS</v>
          </cell>
          <cell r="F399" t="str">
            <v>000000000035087</v>
          </cell>
        </row>
        <row r="400">
          <cell r="A400" t="str">
            <v>SBM-003-012-0000127</v>
          </cell>
          <cell r="B400" t="str">
            <v>M24X100 MATERIAL BAJA HITAM (12.9)</v>
          </cell>
          <cell r="C400" t="str">
            <v>PT. SADAR MAKMUR JAYA</v>
          </cell>
          <cell r="D400">
            <v>50</v>
          </cell>
          <cell r="E400" t="str">
            <v>PCS</v>
          </cell>
          <cell r="F400" t="str">
            <v>000000000035087</v>
          </cell>
        </row>
        <row r="401">
          <cell r="A401" t="str">
            <v>SBM-003-012-0000423</v>
          </cell>
          <cell r="B401" t="str">
            <v>BOLT MATERIAL BAJA HITAM (12.9) M5X15</v>
          </cell>
          <cell r="C401" t="str">
            <v>PT. SADAR MAKMUR JAYA</v>
          </cell>
          <cell r="D401">
            <v>50</v>
          </cell>
          <cell r="E401" t="str">
            <v>Pcs</v>
          </cell>
          <cell r="F401" t="str">
            <v>000000000035087</v>
          </cell>
        </row>
        <row r="402">
          <cell r="A402" t="str">
            <v>SBM-003-012-0000095</v>
          </cell>
          <cell r="B402" t="str">
            <v>M16X60 MATERIAL BAJA HITAM (12.9)</v>
          </cell>
          <cell r="C402" t="str">
            <v>PT. SADAR MAKMUR JAYA</v>
          </cell>
          <cell r="D402">
            <v>50</v>
          </cell>
          <cell r="E402" t="str">
            <v>PCS</v>
          </cell>
          <cell r="F402" t="str">
            <v>000000000035087</v>
          </cell>
        </row>
        <row r="403">
          <cell r="A403" t="str">
            <v>SBM-002-002-0000002</v>
          </cell>
          <cell r="B403" t="str">
            <v>NITROGEN GAS IN CYLINDER</v>
          </cell>
          <cell r="C403" t="str">
            <v>PT. Iwatani Industrial Gas</v>
          </cell>
          <cell r="D403">
            <v>10</v>
          </cell>
          <cell r="E403" t="str">
            <v>Cylinder</v>
          </cell>
          <cell r="F403" t="str">
            <v>000000000035088</v>
          </cell>
        </row>
        <row r="404">
          <cell r="A404" t="str">
            <v>SBM-004-001-0001285</v>
          </cell>
          <cell r="B404" t="str">
            <v>MOUNTED POINT FSK 13X13X3X30 MP321 PA60</v>
          </cell>
          <cell r="C404" t="str">
            <v>PT. Prima Tigon Global</v>
          </cell>
          <cell r="D404">
            <v>200</v>
          </cell>
          <cell r="E404" t="str">
            <v>PCS</v>
          </cell>
          <cell r="F404" t="str">
            <v>000000000035091</v>
          </cell>
        </row>
        <row r="405">
          <cell r="A405" t="str">
            <v>SBM-004-001-0001330</v>
          </cell>
          <cell r="B405" t="str">
            <v>MOUNTED POINT FSK MP101 PA60NVA 5X13X3X</v>
          </cell>
          <cell r="C405" t="str">
            <v>PT. Prima Tigon Global</v>
          </cell>
          <cell r="D405">
            <v>100</v>
          </cell>
          <cell r="E405" t="str">
            <v>PCS</v>
          </cell>
          <cell r="F405" t="str">
            <v>000000000035091</v>
          </cell>
        </row>
        <row r="406">
          <cell r="A406" t="str">
            <v>SBM-004-002-0000048</v>
          </cell>
          <cell r="B406" t="str">
            <v>BALL ENDMILL EPDBE2040-20-ATH HITACHI</v>
          </cell>
          <cell r="C406" t="str">
            <v>PT. Prima Tigon Global</v>
          </cell>
          <cell r="D406">
            <v>25</v>
          </cell>
          <cell r="E406" t="str">
            <v>Pcs</v>
          </cell>
          <cell r="F406" t="str">
            <v>000000000035091</v>
          </cell>
        </row>
        <row r="407">
          <cell r="A407" t="str">
            <v>SBM-001-009-0000045</v>
          </cell>
          <cell r="B407" t="str">
            <v>AQUACOAT NO.2</v>
          </cell>
          <cell r="C407" t="str">
            <v>PT. Moresco Indonesia</v>
          </cell>
          <cell r="D407">
            <v>40</v>
          </cell>
          <cell r="E407" t="str">
            <v>Unit</v>
          </cell>
          <cell r="F407" t="str">
            <v>000000000035092</v>
          </cell>
        </row>
        <row r="408">
          <cell r="A408" t="str">
            <v>SBM-010-004-0001069</v>
          </cell>
          <cell r="B408" t="str">
            <v>RUST PREVENTIVE OIL EMCOAT 031-011</v>
          </cell>
          <cell r="C408" t="str">
            <v>PT. Metalchem Cahaya Indonesia</v>
          </cell>
          <cell r="D408">
            <v>2</v>
          </cell>
          <cell r="E408" t="str">
            <v>DRUM</v>
          </cell>
          <cell r="F408" t="str">
            <v>000000000035093</v>
          </cell>
        </row>
        <row r="409">
          <cell r="A409" t="str">
            <v>SBM-006-001-0001655</v>
          </cell>
          <cell r="B409" t="str">
            <v>3RD STAGE FINISHER UPPER HOLDING DIE</v>
          </cell>
          <cell r="C409" t="str">
            <v>PT. Meitoku-Wadayama Indonesia</v>
          </cell>
          <cell r="D409">
            <v>1</v>
          </cell>
          <cell r="E409" t="str">
            <v>Pcs</v>
          </cell>
          <cell r="F409" t="str">
            <v>000000000035094</v>
          </cell>
        </row>
        <row r="410">
          <cell r="A410" t="str">
            <v>SBM-009-008-0000007</v>
          </cell>
          <cell r="B410" t="str">
            <v>KACAMATA GOOGLE 3M TYPE 334</v>
          </cell>
          <cell r="C410" t="str">
            <v>PT. SADAR MAKMUR JAYA</v>
          </cell>
          <cell r="D410">
            <v>12</v>
          </cell>
          <cell r="E410" t="str">
            <v>Pcs</v>
          </cell>
          <cell r="F410" t="str">
            <v>000000000035095</v>
          </cell>
        </row>
        <row r="411">
          <cell r="A411" t="str">
            <v>SBM-004-008-0000030</v>
          </cell>
          <cell r="B411" t="str">
            <v>YOSHIDA-PNEUMATIC PENCIL GRINDER-YG-06-1</v>
          </cell>
          <cell r="C411" t="str">
            <v>PT COMINIX INDONESIA</v>
          </cell>
          <cell r="D411">
            <v>2</v>
          </cell>
          <cell r="E411" t="str">
            <v>PCS</v>
          </cell>
          <cell r="F411" t="str">
            <v>000000000035096</v>
          </cell>
        </row>
        <row r="412">
          <cell r="A412" t="str">
            <v>SBM-004-018-0000011</v>
          </cell>
          <cell r="B412" t="str">
            <v>DAIWA RABIN 3MM 4X13X3 WA180 CM55</v>
          </cell>
          <cell r="C412" t="str">
            <v>PT COMINIX INDONESIA</v>
          </cell>
          <cell r="D412">
            <v>100</v>
          </cell>
          <cell r="E412" t="str">
            <v>Pcs</v>
          </cell>
          <cell r="F412" t="str">
            <v>000000000035096</v>
          </cell>
        </row>
        <row r="413">
          <cell r="A413" t="str">
            <v>SBM-007-001-0007916</v>
          </cell>
          <cell r="B413" t="str">
            <v>REGU KEBAKARAN KELAS C SERTIFIKASI KEMNA</v>
          </cell>
          <cell r="C413" t="str">
            <v>PT DWITAMA KREATIF ASIA</v>
          </cell>
          <cell r="D413">
            <v>1</v>
          </cell>
          <cell r="E413" t="str">
            <v>Lot</v>
          </cell>
          <cell r="F413" t="str">
            <v>000000000035097</v>
          </cell>
        </row>
        <row r="414">
          <cell r="A414" t="str">
            <v>SBM-007-001-0007588</v>
          </cell>
          <cell r="B414" t="str">
            <v>CUTTING ROUND BAR D31E CRANKSHAFT DIA 87</v>
          </cell>
          <cell r="C414" t="str">
            <v>PT LANGGENG ENGINEERING TEHNIK INDONESIA</v>
          </cell>
          <cell r="D414">
            <v>15</v>
          </cell>
          <cell r="E414" t="str">
            <v>Pcs</v>
          </cell>
          <cell r="F414" t="str">
            <v>000000000035098</v>
          </cell>
        </row>
        <row r="415">
          <cell r="A415" t="str">
            <v>SBM-007-001-0007590</v>
          </cell>
          <cell r="B415" t="str">
            <v>CUTTING ROUND BAR D60F, DIA 86 X 280MM</v>
          </cell>
          <cell r="C415" t="str">
            <v>PT LANGGENG ENGINEERING TEHNIK INDONESIA</v>
          </cell>
          <cell r="D415">
            <v>15</v>
          </cell>
          <cell r="E415" t="str">
            <v>Pcs</v>
          </cell>
          <cell r="F415" t="str">
            <v>000000000035098</v>
          </cell>
        </row>
        <row r="416">
          <cell r="A416" t="str">
            <v>SBM-007-001-0007710</v>
          </cell>
          <cell r="B416" t="str">
            <v>CUTTING T00A CRANKSHAFT DIA 78 X 378MM</v>
          </cell>
          <cell r="C416" t="str">
            <v>PT LANGGENG ENGINEERING TEHNIK INDONESIA</v>
          </cell>
          <cell r="D416">
            <v>5</v>
          </cell>
          <cell r="E416" t="str">
            <v>PCS</v>
          </cell>
          <cell r="F416" t="str">
            <v>000000000035098</v>
          </cell>
        </row>
        <row r="417">
          <cell r="A417" t="str">
            <v>SBM-007-001-0007805</v>
          </cell>
          <cell r="B417" t="str">
            <v>CUTTING ROUND BAR 1NR-X, DIA 72X391MM</v>
          </cell>
          <cell r="C417" t="str">
            <v>PT LANGGENG ENGINEERING TEHNIK INDONESIA</v>
          </cell>
          <cell r="D417">
            <v>8</v>
          </cell>
          <cell r="E417" t="str">
            <v>PCS</v>
          </cell>
          <cell r="F417" t="str">
            <v>000000000035098</v>
          </cell>
        </row>
        <row r="418">
          <cell r="A418" t="str">
            <v>SBM-007-001-0007481</v>
          </cell>
          <cell r="B418" t="str">
            <v>CUTTING ROUND BAR 2NR-X, DIA 80X380MM</v>
          </cell>
          <cell r="C418" t="str">
            <v>PT LANGGENG ENGINEERING TEHNIK INDONESIA</v>
          </cell>
          <cell r="D418">
            <v>7</v>
          </cell>
          <cell r="E418" t="str">
            <v>PCS</v>
          </cell>
          <cell r="F418" t="str">
            <v>000000000035098</v>
          </cell>
        </row>
        <row r="419">
          <cell r="A419" t="str">
            <v>SBM-007-001-0007205</v>
          </cell>
          <cell r="B419" t="str">
            <v>CUTTING ROUND BAR HF D14N, DIA 65X117.9</v>
          </cell>
          <cell r="C419" t="str">
            <v>PT LANGGENG ENGINEERING TEHNIK INDONESIA</v>
          </cell>
          <cell r="D419">
            <v>215</v>
          </cell>
          <cell r="E419" t="str">
            <v>PCS</v>
          </cell>
          <cell r="F419" t="str">
            <v>000000000035098</v>
          </cell>
        </row>
        <row r="420">
          <cell r="A420" t="str">
            <v>SBM-007-001-0007203</v>
          </cell>
          <cell r="B420" t="str">
            <v>CUTTING ROUND BAR HF D30D, DIA 53X108.6</v>
          </cell>
          <cell r="C420" t="str">
            <v>PT LANGGENG ENGINEERING TEHNIK INDONESIA</v>
          </cell>
          <cell r="D420">
            <v>14</v>
          </cell>
          <cell r="E420" t="str">
            <v>PCS</v>
          </cell>
          <cell r="F420" t="str">
            <v>000000000035098</v>
          </cell>
        </row>
        <row r="421">
          <cell r="A421" t="str">
            <v>SBM-007-001-0007591</v>
          </cell>
          <cell r="B421" t="str">
            <v>CUTTING ROUND BAR 3880A HFW, 58 X 115,7</v>
          </cell>
          <cell r="C421" t="str">
            <v>PT LANGGENG ENGINEERING TEHNIK INDONESIA</v>
          </cell>
          <cell r="D421">
            <v>25</v>
          </cell>
          <cell r="E421" t="str">
            <v>Pcs</v>
          </cell>
          <cell r="F421" t="str">
            <v>000000000035098</v>
          </cell>
        </row>
        <row r="422">
          <cell r="A422" t="str">
            <v>SBM-007-001-0007207</v>
          </cell>
          <cell r="B422" t="str">
            <v>MOB DE MOB LANGGENG</v>
          </cell>
          <cell r="C422" t="str">
            <v>PT LANGGENG ENGINEERING TEHNIK INDONESIA</v>
          </cell>
          <cell r="D422">
            <v>6</v>
          </cell>
          <cell r="E422" t="str">
            <v>Lot</v>
          </cell>
          <cell r="F422" t="str">
            <v>000000000035098</v>
          </cell>
        </row>
        <row r="423">
          <cell r="A423" t="str">
            <v>SBM-004-001-0000796</v>
          </cell>
          <cell r="B423" t="str">
            <v>CARBIDE TAPER BALLENDMILL R5X15X65X1X140</v>
          </cell>
          <cell r="C423" t="str">
            <v>PT. Katsuyamaseiki KKB Indonesia</v>
          </cell>
          <cell r="D423">
            <v>15</v>
          </cell>
          <cell r="E423" t="str">
            <v>Pcs</v>
          </cell>
          <cell r="F423" t="str">
            <v>000000000035099</v>
          </cell>
        </row>
        <row r="424">
          <cell r="A424" t="str">
            <v>SBM-004-211-0000001</v>
          </cell>
          <cell r="B424" t="str">
            <v>BALLENDMILL R4X20X100L ALCRONA</v>
          </cell>
          <cell r="C424" t="str">
            <v>PT. Katsuyamaseiki KKB Indonesia</v>
          </cell>
          <cell r="D424">
            <v>15</v>
          </cell>
          <cell r="E424" t="str">
            <v>Pcs</v>
          </cell>
          <cell r="F424" t="str">
            <v>000000000035099</v>
          </cell>
        </row>
        <row r="425">
          <cell r="A425" t="str">
            <v>SBM-007-001-0004726</v>
          </cell>
          <cell r="B425" t="str">
            <v>BALL ENDMILL CSH PROCESS DURANA R6+CUT</v>
          </cell>
          <cell r="C425" t="str">
            <v>PT. Katsuyamaseiki KKB Indonesia</v>
          </cell>
          <cell r="D425">
            <v>23</v>
          </cell>
          <cell r="E425" t="str">
            <v>Pcs</v>
          </cell>
          <cell r="F425" t="str">
            <v>000000000035099</v>
          </cell>
        </row>
        <row r="426">
          <cell r="A426" t="str">
            <v>SBM-007-001-0002517</v>
          </cell>
          <cell r="B426" t="str">
            <v>BALL ENDMILL PROCESS ALCRONA R5+CUT</v>
          </cell>
          <cell r="C426" t="str">
            <v>PT. Katsuyamaseiki KKB Indonesia</v>
          </cell>
          <cell r="D426">
            <v>18</v>
          </cell>
          <cell r="E426" t="str">
            <v>Pcs</v>
          </cell>
          <cell r="F426" t="str">
            <v>000000000035099</v>
          </cell>
        </row>
        <row r="427">
          <cell r="A427" t="str">
            <v>SBM-007-001-000144</v>
          </cell>
          <cell r="B427" t="str">
            <v>BALL ENDMILL CSH PROCESS ALCRONA R4+C</v>
          </cell>
          <cell r="C427" t="str">
            <v>PT. Katsuyamaseiki KKB Indonesia</v>
          </cell>
          <cell r="D427">
            <v>38</v>
          </cell>
          <cell r="E427" t="str">
            <v>Pcs</v>
          </cell>
          <cell r="F427" t="str">
            <v>000000000035099</v>
          </cell>
        </row>
        <row r="428">
          <cell r="A428" t="str">
            <v>SBM-007-001-0000040</v>
          </cell>
          <cell r="B428" t="str">
            <v>BALL ENDMILL CSH PROCESS ALCRONA R3</v>
          </cell>
          <cell r="C428" t="str">
            <v>PT. Katsuyamaseiki KKB Indonesia</v>
          </cell>
          <cell r="D428">
            <v>24</v>
          </cell>
          <cell r="E428" t="str">
            <v>Pcs</v>
          </cell>
          <cell r="F428" t="str">
            <v>000000000035099</v>
          </cell>
        </row>
        <row r="429">
          <cell r="A429" t="str">
            <v>SBM-007-001-0002516</v>
          </cell>
          <cell r="B429" t="str">
            <v>BALL ENDMILL PROCESS ALCRONA BESL-R5X1</v>
          </cell>
          <cell r="C429" t="str">
            <v>PT. Katsuyamaseiki KKB Indonesia</v>
          </cell>
          <cell r="D429">
            <v>22</v>
          </cell>
          <cell r="E429" t="str">
            <v>Pcs</v>
          </cell>
          <cell r="F429" t="str">
            <v>000000000035099</v>
          </cell>
        </row>
        <row r="430">
          <cell r="A430" t="str">
            <v>SBM-007-001-0002514</v>
          </cell>
          <cell r="B430" t="str">
            <v>BALL ENDMILL PROCESS ALCRONA BESL-R4X1</v>
          </cell>
          <cell r="C430" t="str">
            <v>PT. Katsuyamaseiki KKB Indonesia</v>
          </cell>
          <cell r="D430">
            <v>21</v>
          </cell>
          <cell r="E430" t="str">
            <v>Pcs</v>
          </cell>
          <cell r="F430" t="str">
            <v>000000000035099</v>
          </cell>
        </row>
        <row r="431">
          <cell r="A431" t="str">
            <v>SBM-007-001-0002511</v>
          </cell>
          <cell r="B431" t="str">
            <v>BALL ENDMILL PROCESS ALCRONA BESL-R3X1</v>
          </cell>
          <cell r="C431" t="str">
            <v>PT. Katsuyamaseiki KKB Indonesia</v>
          </cell>
          <cell r="D431">
            <v>13</v>
          </cell>
          <cell r="E431" t="str">
            <v>Pcs</v>
          </cell>
          <cell r="F431" t="str">
            <v>000000000035099</v>
          </cell>
        </row>
        <row r="432">
          <cell r="A432" t="str">
            <v>SBM-007-001-0000030</v>
          </cell>
          <cell r="B432" t="str">
            <v>ENDMILL CSH PROCESS LATUMA DIA12X6NT C</v>
          </cell>
          <cell r="C432" t="str">
            <v>PT. Katsuyamaseiki KKB Indonesia</v>
          </cell>
          <cell r="D432">
            <v>4</v>
          </cell>
          <cell r="E432" t="str">
            <v>Pcs</v>
          </cell>
          <cell r="F432" t="str">
            <v>000000000035099</v>
          </cell>
        </row>
        <row r="433">
          <cell r="A433" t="str">
            <v>SBM-007-001-0004887</v>
          </cell>
          <cell r="B433" t="str">
            <v>HITACHI BALLENDMILL CSH PROCESS DURANA</v>
          </cell>
          <cell r="C433" t="str">
            <v>PT. Katsuyamaseiki KKB Indonesia</v>
          </cell>
          <cell r="D433">
            <v>9</v>
          </cell>
          <cell r="E433" t="str">
            <v>Pcs</v>
          </cell>
          <cell r="F433" t="str">
            <v>000000000035099</v>
          </cell>
        </row>
        <row r="434">
          <cell r="A434" t="str">
            <v>SBM-007-001-0004728</v>
          </cell>
          <cell r="B434" t="str">
            <v>HITACHI BALLENDMILL CSH PROCESS DURANA</v>
          </cell>
          <cell r="C434" t="str">
            <v>PT. Katsuyamaseiki KKB Indonesia</v>
          </cell>
          <cell r="D434">
            <v>19</v>
          </cell>
          <cell r="E434" t="str">
            <v>Pcs</v>
          </cell>
          <cell r="F434" t="str">
            <v>000000000035099</v>
          </cell>
        </row>
        <row r="435">
          <cell r="A435" t="str">
            <v>SBM-003-010-0000141</v>
          </cell>
          <cell r="B435" t="str">
            <v>MISUMI SWR31-60 COIL SPRING</v>
          </cell>
          <cell r="C435" t="str">
            <v>PT. Misumi Indonesia</v>
          </cell>
          <cell r="D435">
            <v>20</v>
          </cell>
          <cell r="E435" t="str">
            <v>Pcs</v>
          </cell>
          <cell r="F435" t="str">
            <v>000000000035100</v>
          </cell>
        </row>
        <row r="436">
          <cell r="A436" t="str">
            <v>SBM-003-010-0000100</v>
          </cell>
          <cell r="B436" t="str">
            <v>COIL SPRING SWR14.5-15</v>
          </cell>
          <cell r="C436" t="str">
            <v>PT. Misumi Indonesia</v>
          </cell>
          <cell r="D436">
            <v>50</v>
          </cell>
          <cell r="E436" t="str">
            <v>Pcs</v>
          </cell>
          <cell r="F436" t="str">
            <v>000000000035100</v>
          </cell>
        </row>
        <row r="437">
          <cell r="A437" t="str">
            <v>SBM-006-022-0000010</v>
          </cell>
          <cell r="B437" t="str">
            <v>SWU 31-75 COIL SPRING</v>
          </cell>
          <cell r="C437" t="str">
            <v>PT. Misumi Indonesia</v>
          </cell>
          <cell r="D437">
            <v>50</v>
          </cell>
          <cell r="E437" t="str">
            <v>Pcs</v>
          </cell>
          <cell r="F437" t="str">
            <v>000000000035100</v>
          </cell>
        </row>
        <row r="438">
          <cell r="A438" t="str">
            <v>SBM-004-001-0001328</v>
          </cell>
          <cell r="B438" t="str">
            <v>BKD-61R WELDING ROD 2.4MM X 1000MM</v>
          </cell>
          <cell r="C438" t="str">
            <v>PT. Kiso-Seiko Indonesia</v>
          </cell>
          <cell r="D438">
            <v>5</v>
          </cell>
          <cell r="E438" t="str">
            <v>Kg</v>
          </cell>
          <cell r="F438" t="str">
            <v>000000000035101</v>
          </cell>
        </row>
        <row r="439">
          <cell r="A439" t="str">
            <v>SBM-009-018-0000001</v>
          </cell>
          <cell r="B439" t="str">
            <v>ARM SLEEVE BLACK</v>
          </cell>
          <cell r="C439" t="str">
            <v>PT. Danadipa Harapan Sentosa</v>
          </cell>
          <cell r="D439">
            <v>100</v>
          </cell>
          <cell r="E439" t="str">
            <v>Pasang</v>
          </cell>
          <cell r="F439" t="str">
            <v>000000000035104</v>
          </cell>
        </row>
        <row r="440">
          <cell r="A440" t="str">
            <v>SBM-006-020-0000006</v>
          </cell>
          <cell r="B440" t="str">
            <v>#3, UPPER KNOCK OUT PIN IDH451-0002-902</v>
          </cell>
          <cell r="C440" t="str">
            <v>PT. CAKRAWALA MAJU SEJAHTERA</v>
          </cell>
          <cell r="D440">
            <v>10</v>
          </cell>
          <cell r="E440" t="str">
            <v>Pcs</v>
          </cell>
          <cell r="F440" t="str">
            <v>000000000035105</v>
          </cell>
        </row>
        <row r="441">
          <cell r="A441" t="str">
            <v>SBM-004-001-0000450</v>
          </cell>
          <cell r="B441" t="str">
            <v>UPPER BLADE 401-0-001-DIA 53</v>
          </cell>
          <cell r="C441" t="str">
            <v>PT. CAKRAWALA MAJU SEJAHTERA</v>
          </cell>
          <cell r="D441">
            <v>1</v>
          </cell>
          <cell r="E441" t="str">
            <v>Pcs</v>
          </cell>
          <cell r="F441" t="str">
            <v>000000000035106</v>
          </cell>
        </row>
        <row r="442">
          <cell r="A442" t="str">
            <v>SBM-004-045-0000028</v>
          </cell>
          <cell r="B442" t="str">
            <v>UPPER BLADE DIA 32</v>
          </cell>
          <cell r="C442" t="str">
            <v>PT. CAKRAWALA MAJU SEJAHTERA</v>
          </cell>
          <cell r="D442">
            <v>1</v>
          </cell>
          <cell r="E442" t="str">
            <v>Unit</v>
          </cell>
          <cell r="F442" t="str">
            <v>000000000035106</v>
          </cell>
        </row>
        <row r="443">
          <cell r="A443" t="str">
            <v>SBM-004-045-0000041</v>
          </cell>
          <cell r="B443" t="str">
            <v>LOWER BLADE 041-0-002-DIA.53</v>
          </cell>
          <cell r="C443" t="str">
            <v>PT. CAKRAWALA MAJU SEJAHTERA</v>
          </cell>
          <cell r="D443">
            <v>1</v>
          </cell>
          <cell r="E443" t="str">
            <v>Pcs</v>
          </cell>
          <cell r="F443" t="str">
            <v>000000000035106</v>
          </cell>
        </row>
        <row r="444">
          <cell r="A444" t="str">
            <v>SBM-006-001-0001874</v>
          </cell>
          <cell r="B444" t="str">
            <v>RB2 FINGER R (TPE : COMMON USE) 1-4500T</v>
          </cell>
          <cell r="C444" t="str">
            <v>PT. CAKRAWALA MAJU SEJAHTERA</v>
          </cell>
          <cell r="D444">
            <v>7</v>
          </cell>
          <cell r="E444" t="str">
            <v>PCS</v>
          </cell>
          <cell r="F444" t="str">
            <v>000000000035106</v>
          </cell>
        </row>
        <row r="445">
          <cell r="A445" t="str">
            <v>SBM-006-001-0001932</v>
          </cell>
          <cell r="B445" t="str">
            <v>RB-1 UPPER (UUPER KUKU ROBOT 1 COMMON US</v>
          </cell>
          <cell r="C445" t="str">
            <v>PT. CAKRAWALA MAJU SEJAHTERA</v>
          </cell>
          <cell r="D445">
            <v>2</v>
          </cell>
          <cell r="E445" t="str">
            <v>Pcs</v>
          </cell>
          <cell r="F445" t="str">
            <v>000000000035106</v>
          </cell>
        </row>
        <row r="446">
          <cell r="A446" t="str">
            <v>SBM-006-001-0001834</v>
          </cell>
          <cell r="B446" t="str">
            <v>PART 2 INSERT LOCK FEMALE C</v>
          </cell>
          <cell r="C446" t="str">
            <v>PT. CAKRAWALA MAJU SEJAHTERA</v>
          </cell>
          <cell r="D446">
            <v>2</v>
          </cell>
          <cell r="E446" t="str">
            <v>PCS</v>
          </cell>
          <cell r="F446" t="str">
            <v>000000000035106</v>
          </cell>
        </row>
        <row r="447">
          <cell r="A447" t="str">
            <v>SBM-006-001-0001841</v>
          </cell>
          <cell r="B447" t="str">
            <v>MIDDLE BASE MOVING NOZZLE</v>
          </cell>
          <cell r="C447" t="str">
            <v>PT. CAKRAWALA MAJU SEJAHTERA</v>
          </cell>
          <cell r="D447">
            <v>1</v>
          </cell>
          <cell r="E447" t="str">
            <v>PCS</v>
          </cell>
          <cell r="F447" t="str">
            <v>000000000035106</v>
          </cell>
        </row>
        <row r="448">
          <cell r="A448" t="str">
            <v>SBM-006-0004-00-0000006</v>
          </cell>
          <cell r="B448" t="str">
            <v>SCREW SPACER #6 IDK201-01-537</v>
          </cell>
          <cell r="C448" t="str">
            <v>PT. CAKRAWALA MAJU SEJAHTERA</v>
          </cell>
          <cell r="D448">
            <v>13</v>
          </cell>
          <cell r="E448" t="str">
            <v>Pcs</v>
          </cell>
          <cell r="F448" t="str">
            <v>000000000035106</v>
          </cell>
        </row>
        <row r="449">
          <cell r="A449" t="str">
            <v>SBM-006-001-0000689</v>
          </cell>
          <cell r="B449" t="str">
            <v>2ND &amp; 3RD STAGE PLATE IDK251-06-603</v>
          </cell>
          <cell r="C449" t="str">
            <v>PT. CAKRAWALA MAJU SEJAHTERA</v>
          </cell>
          <cell r="D449">
            <v>1</v>
          </cell>
          <cell r="E449" t="str">
            <v>Pcs</v>
          </cell>
          <cell r="F449" t="str">
            <v>000000000035106</v>
          </cell>
        </row>
        <row r="450">
          <cell r="A450" t="str">
            <v>SBM-006-020-0000062</v>
          </cell>
          <cell r="B450" t="str">
            <v>#2 UPPER KNOCK OUTPIN IDH451-0003-900</v>
          </cell>
          <cell r="C450" t="str">
            <v>PT. CAKRAWALA MAJU SEJAHTERA</v>
          </cell>
          <cell r="D450">
            <v>5</v>
          </cell>
          <cell r="E450" t="str">
            <v>Pcs</v>
          </cell>
          <cell r="F450" t="str">
            <v>000000000035106</v>
          </cell>
        </row>
        <row r="451">
          <cell r="A451" t="str">
            <v>SBM-006-020-0000001</v>
          </cell>
          <cell r="B451" t="str">
            <v>#5 STRIP SCREW IDK201-01-S04</v>
          </cell>
          <cell r="C451" t="str">
            <v>PT. CAKRAWALA MAJU SEJAHTERA</v>
          </cell>
          <cell r="D451">
            <v>20</v>
          </cell>
          <cell r="E451" t="str">
            <v>Pcs</v>
          </cell>
          <cell r="F451" t="str">
            <v>000000000035106</v>
          </cell>
        </row>
        <row r="452">
          <cell r="A452" t="str">
            <v>SBM-003-198-000000001</v>
          </cell>
          <cell r="B452" t="str">
            <v>KUKU ROBOT O LINE 2000 TAP F0454-01-10</v>
          </cell>
          <cell r="C452" t="str">
            <v>PT. CAKRAWALA MAJU SEJAHTERA</v>
          </cell>
          <cell r="D452">
            <v>2</v>
          </cell>
          <cell r="E452" t="str">
            <v>Pcs</v>
          </cell>
          <cell r="F452" t="str">
            <v>000000000035106</v>
          </cell>
        </row>
        <row r="453">
          <cell r="A453" t="str">
            <v>SBM-007-001-0003286</v>
          </cell>
          <cell r="B453" t="str">
            <v>MACHINING CONNECTING ROD 1NR BL</v>
          </cell>
          <cell r="C453" t="str">
            <v>PT. Astra Otoparts Tbk.</v>
          </cell>
          <cell r="D453">
            <v>1</v>
          </cell>
          <cell r="E453" t="str">
            <v>Pcs</v>
          </cell>
          <cell r="F453" t="str">
            <v>000000000035107</v>
          </cell>
        </row>
        <row r="454">
          <cell r="A454" t="str">
            <v>SBM-007-001-0003287</v>
          </cell>
          <cell r="B454" t="str">
            <v>MACHINING CONNECTING ROD 1NR BU</v>
          </cell>
          <cell r="C454" t="str">
            <v>PT. Astra Otoparts Tbk.</v>
          </cell>
          <cell r="D454">
            <v>2</v>
          </cell>
          <cell r="E454" t="str">
            <v>Pcs</v>
          </cell>
          <cell r="F454" t="str">
            <v>000000000035107</v>
          </cell>
        </row>
        <row r="455">
          <cell r="A455" t="str">
            <v>SBM-007-001-00032889</v>
          </cell>
          <cell r="B455" t="str">
            <v>MACHINING CONNECTING ROD 2NR BL</v>
          </cell>
          <cell r="C455" t="str">
            <v>PT. Astra Otoparts Tbk.</v>
          </cell>
          <cell r="D455">
            <v>3</v>
          </cell>
          <cell r="E455" t="str">
            <v>Pcs</v>
          </cell>
          <cell r="F455" t="str">
            <v>000000000035107</v>
          </cell>
        </row>
        <row r="456">
          <cell r="A456" t="str">
            <v>SBM-007-001-0005337</v>
          </cell>
          <cell r="B456" t="str">
            <v>MACHINING CONNECTING ROD D09E BU</v>
          </cell>
          <cell r="C456" t="str">
            <v>PT. Astra Otoparts Tbk.</v>
          </cell>
          <cell r="D456">
            <v>1</v>
          </cell>
          <cell r="E456" t="str">
            <v>Pcs</v>
          </cell>
          <cell r="F456" t="str">
            <v>000000000035107</v>
          </cell>
        </row>
        <row r="457">
          <cell r="A457" t="str">
            <v>SBM-007-001-00032891</v>
          </cell>
          <cell r="B457" t="str">
            <v>MACHINING CRANKSHAFT 1 NR BL</v>
          </cell>
          <cell r="C457" t="str">
            <v>PT. Astra Otoparts Tbk.</v>
          </cell>
          <cell r="D457">
            <v>1</v>
          </cell>
          <cell r="E457" t="str">
            <v>Pcs</v>
          </cell>
          <cell r="F457" t="str">
            <v>000000000035107</v>
          </cell>
        </row>
        <row r="458">
          <cell r="A458" t="str">
            <v>SBM-007-001-00032893</v>
          </cell>
          <cell r="B458" t="str">
            <v>MACHINING CRANKSHAFT 2 NR BL</v>
          </cell>
          <cell r="C458" t="str">
            <v>PT. Astra Otoparts Tbk.</v>
          </cell>
          <cell r="D458">
            <v>4</v>
          </cell>
          <cell r="E458" t="str">
            <v>Pcs</v>
          </cell>
          <cell r="F458" t="str">
            <v>000000000035107</v>
          </cell>
        </row>
        <row r="459">
          <cell r="A459" t="str">
            <v>SBM-007-001-00032894</v>
          </cell>
          <cell r="B459" t="str">
            <v>MACHINING CRANKSHAFT 2 NR BU</v>
          </cell>
          <cell r="C459" t="str">
            <v>PT. Astra Otoparts Tbk.</v>
          </cell>
          <cell r="D459">
            <v>1</v>
          </cell>
          <cell r="E459" t="str">
            <v>Pcs</v>
          </cell>
          <cell r="F459" t="str">
            <v>000000000035107</v>
          </cell>
        </row>
        <row r="460">
          <cell r="A460" t="str">
            <v>SBM-004-066-0000035</v>
          </cell>
          <cell r="B460" t="str">
            <v>RAIL BILLET HEATER DIA 87 OUT (NEW MODEL</v>
          </cell>
          <cell r="C460" t="str">
            <v>PT. Asko Teknik Makmur</v>
          </cell>
          <cell r="D460">
            <v>2</v>
          </cell>
          <cell r="E460" t="str">
            <v>Pcs</v>
          </cell>
          <cell r="F460" t="str">
            <v>000000000035108</v>
          </cell>
        </row>
        <row r="461">
          <cell r="A461" t="str">
            <v>SBM-009-008-0000005</v>
          </cell>
          <cell r="B461" t="str">
            <v>KACAMATA KINGS KY 2221</v>
          </cell>
          <cell r="C461" t="str">
            <v>PT. Amco Multitech</v>
          </cell>
          <cell r="D461">
            <v>12</v>
          </cell>
          <cell r="E461" t="str">
            <v>Pcs</v>
          </cell>
          <cell r="F461" t="str">
            <v>000000000035109</v>
          </cell>
        </row>
        <row r="462">
          <cell r="A462" t="str">
            <v>SBM-009-009-0000001</v>
          </cell>
          <cell r="B462" t="str">
            <v>SARUNG TANGAN COMET CTMKG 905 GREY</v>
          </cell>
          <cell r="C462" t="str">
            <v>PT. Alifindo Mitra Bersama</v>
          </cell>
          <cell r="D462">
            <v>500</v>
          </cell>
          <cell r="E462" t="str">
            <v>Pasang</v>
          </cell>
          <cell r="F462" t="str">
            <v>000000000035110</v>
          </cell>
        </row>
        <row r="463">
          <cell r="A463" t="str">
            <v>SBM-010-004-0001487</v>
          </cell>
          <cell r="B463" t="str">
            <v>MANUFACTURE BUSHING CYLINDER SKO 2500T</v>
          </cell>
          <cell r="C463" t="str">
            <v>PT. Afour Era Wijaya</v>
          </cell>
          <cell r="D463">
            <v>1</v>
          </cell>
          <cell r="E463" t="str">
            <v>Unit</v>
          </cell>
          <cell r="F463" t="str">
            <v>000000000035111</v>
          </cell>
        </row>
        <row r="464">
          <cell r="A464" t="str">
            <v>SBM-007-001-0001525</v>
          </cell>
          <cell r="B464" t="str">
            <v>REKONDISI HYDRAULIC BKO 2000TAP</v>
          </cell>
          <cell r="C464" t="str">
            <v>PT. Afour Era Wijaya</v>
          </cell>
          <cell r="D464">
            <v>1</v>
          </cell>
          <cell r="E464" t="str">
            <v>Unit</v>
          </cell>
          <cell r="F464" t="str">
            <v>000000000035112</v>
          </cell>
        </row>
        <row r="465">
          <cell r="A465" t="str">
            <v>SBM-003-001-0003343</v>
          </cell>
          <cell r="B465" t="str">
            <v>TEMPERATURE SENSOR - EFECTOR TN7531</v>
          </cell>
          <cell r="C465" t="str">
            <v>PT GHANI META PERKASA</v>
          </cell>
          <cell r="D465">
            <v>1</v>
          </cell>
          <cell r="E465" t="str">
            <v>Unit</v>
          </cell>
          <cell r="F465" t="str">
            <v>000000000035113</v>
          </cell>
        </row>
        <row r="466">
          <cell r="A466" t="str">
            <v>SBM-007-001-0007894</v>
          </cell>
          <cell r="B466" t="str">
            <v>REPAIR BRAKE SERVO MOTOR J3 MSMA302D7V3</v>
          </cell>
          <cell r="C466" t="str">
            <v>PT GHANI META PERKASA</v>
          </cell>
          <cell r="D466">
            <v>1</v>
          </cell>
          <cell r="E466" t="str">
            <v>Lot</v>
          </cell>
          <cell r="F466" t="str">
            <v>000000000035114</v>
          </cell>
        </row>
        <row r="467">
          <cell r="A467" t="str">
            <v>SBM-007-001-0007895</v>
          </cell>
          <cell r="B467" t="str">
            <v>REPAIR SEQUENCE BOARD UM352</v>
          </cell>
          <cell r="C467" t="str">
            <v>PT GHANI META PERKASA</v>
          </cell>
          <cell r="D467">
            <v>1</v>
          </cell>
          <cell r="E467" t="str">
            <v>Lot</v>
          </cell>
          <cell r="F467" t="str">
            <v>000000000035114</v>
          </cell>
        </row>
        <row r="468">
          <cell r="A468" t="str">
            <v>SBM-007-001-0007898</v>
          </cell>
          <cell r="B468" t="str">
            <v>FOOT VALVE 2,4" HYDRANT REPLACEMENT</v>
          </cell>
          <cell r="C468" t="str">
            <v>PT GHANI META PERKASA</v>
          </cell>
          <cell r="D468">
            <v>1</v>
          </cell>
          <cell r="E468" t="str">
            <v>Lot</v>
          </cell>
          <cell r="F468" t="str">
            <v>000000000035115</v>
          </cell>
        </row>
        <row r="469">
          <cell r="A469" t="str">
            <v>SBM-007-001-0007897</v>
          </cell>
          <cell r="B469" t="str">
            <v>PERAPIHAN KABEL INTERNET AREA OFFICE PLA</v>
          </cell>
          <cell r="C469" t="str">
            <v>PT. Denki Engineering</v>
          </cell>
          <cell r="D469">
            <v>1</v>
          </cell>
          <cell r="E469" t="str">
            <v>Lot</v>
          </cell>
          <cell r="F469" t="str">
            <v>000000000035116</v>
          </cell>
        </row>
        <row r="470">
          <cell r="A470" t="str">
            <v>SBM-007-001-0007902</v>
          </cell>
          <cell r="B470" t="str">
            <v>MODIFICATION TUTUP GATER ELECTRICAL ROOM</v>
          </cell>
          <cell r="C470" t="str">
            <v>PT. Denki Engineering</v>
          </cell>
          <cell r="D470">
            <v>1</v>
          </cell>
          <cell r="E470" t="str">
            <v>Lot</v>
          </cell>
          <cell r="F470" t="str">
            <v>000000000035117</v>
          </cell>
        </row>
        <row r="471">
          <cell r="A471" t="str">
            <v>SBM-007-001-0007786</v>
          </cell>
          <cell r="B471" t="str">
            <v>PERFORMANCE CHECK MT MACHINE</v>
          </cell>
          <cell r="C471" t="str">
            <v>PT. Amco Multitech</v>
          </cell>
          <cell r="D471">
            <v>1</v>
          </cell>
          <cell r="E471" t="str">
            <v>Lot</v>
          </cell>
          <cell r="F471" t="str">
            <v>000000000035119</v>
          </cell>
        </row>
        <row r="472">
          <cell r="A472" t="str">
            <v>SBM-007-001-0007018</v>
          </cell>
          <cell r="B472" t="str">
            <v>OVERHAUL INDUCTION HEATING COIL Ø87C OUT</v>
          </cell>
          <cell r="C472" t="str">
            <v>PT. Keidhikei Indonesia</v>
          </cell>
          <cell r="D472">
            <v>1</v>
          </cell>
          <cell r="E472" t="str">
            <v>Lot</v>
          </cell>
          <cell r="F472" t="str">
            <v>000000000035120</v>
          </cell>
        </row>
        <row r="473">
          <cell r="A473" t="str">
            <v>SBM-003-001-0002391</v>
          </cell>
          <cell r="B473" t="str">
            <v>PANEL (HEMISUL 15) T25X310X410</v>
          </cell>
          <cell r="C473" t="str">
            <v>PT. Keidhikei Indonesia</v>
          </cell>
          <cell r="D473">
            <v>2</v>
          </cell>
          <cell r="E473" t="str">
            <v>Unit</v>
          </cell>
          <cell r="F473" t="str">
            <v>000000000035120</v>
          </cell>
        </row>
        <row r="474">
          <cell r="A474" t="str">
            <v>SBM-007-001-0006870</v>
          </cell>
          <cell r="B474" t="str">
            <v>PANEL &lt;HEMISUL 15&gt; T25 X 310 X 670</v>
          </cell>
          <cell r="C474" t="str">
            <v>PT. Keidhikei Indonesia</v>
          </cell>
          <cell r="D474">
            <v>1</v>
          </cell>
          <cell r="E474" t="str">
            <v>Unit</v>
          </cell>
          <cell r="F474" t="str">
            <v>000000000035120</v>
          </cell>
        </row>
        <row r="475">
          <cell r="A475" t="str">
            <v>SBM-007-001-0007901</v>
          </cell>
          <cell r="B475" t="str">
            <v>OVERHAUL INDUCTION HEATING COIL Ø87 OUT</v>
          </cell>
          <cell r="C475" t="str">
            <v>PT. Keidhikei Indonesia</v>
          </cell>
          <cell r="D475">
            <v>1</v>
          </cell>
          <cell r="E475" t="str">
            <v>Lot</v>
          </cell>
          <cell r="F475" t="str">
            <v>000000000035121</v>
          </cell>
        </row>
        <row r="476">
          <cell r="A476" t="str">
            <v>SBM-003-001-0002391</v>
          </cell>
          <cell r="B476" t="str">
            <v>PANEL (HEMISUL 15) T25X310X410</v>
          </cell>
          <cell r="C476" t="str">
            <v>PT. Keidhikei Indonesia</v>
          </cell>
          <cell r="D476">
            <v>2</v>
          </cell>
          <cell r="E476" t="str">
            <v>Unit</v>
          </cell>
          <cell r="F476" t="str">
            <v>000000000035121</v>
          </cell>
        </row>
        <row r="477">
          <cell r="A477" t="str">
            <v>SBM-004-001-0001063</v>
          </cell>
          <cell r="B477" t="str">
            <v>HEXAGONAL KEY WRENCH L-TYPE HK 19</v>
          </cell>
          <cell r="C477" t="str">
            <v>PT. Monotaro Indonesia</v>
          </cell>
          <cell r="D477">
            <v>1</v>
          </cell>
          <cell r="E477" t="str">
            <v>Pcs</v>
          </cell>
          <cell r="F477" t="str">
            <v>000000000035122</v>
          </cell>
        </row>
        <row r="478">
          <cell r="A478" t="str">
            <v>SBM-004-002-0000219</v>
          </cell>
          <cell r="B478" t="str">
            <v>OH COPPER HAMMER CO45H</v>
          </cell>
          <cell r="C478" t="str">
            <v>PT. Monotaro Indonesia</v>
          </cell>
          <cell r="D478">
            <v>6</v>
          </cell>
          <cell r="E478" t="str">
            <v>PCS</v>
          </cell>
          <cell r="F478" t="str">
            <v>000000000035122</v>
          </cell>
        </row>
        <row r="479">
          <cell r="A479" t="str">
            <v>SBM-010-003-0000772</v>
          </cell>
          <cell r="B479" t="str">
            <v>BROCO STOP KONTAK ATLANTIC SERIES 2151</v>
          </cell>
          <cell r="C479" t="str">
            <v>PT. Monotaro Indonesia</v>
          </cell>
          <cell r="D479">
            <v>2</v>
          </cell>
          <cell r="E479" t="str">
            <v>PCS</v>
          </cell>
          <cell r="F479" t="str">
            <v>000000000035122</v>
          </cell>
        </row>
        <row r="480">
          <cell r="A480" t="str">
            <v>SBM-003-001-0003344</v>
          </cell>
          <cell r="B480" t="str">
            <v>JAINDO STEEL SIKU LUBANG NATURAL GREY 2.</v>
          </cell>
          <cell r="C480" t="str">
            <v>PT. Monotaro Indonesia</v>
          </cell>
          <cell r="D480">
            <v>2</v>
          </cell>
          <cell r="E480" t="str">
            <v>PCS</v>
          </cell>
          <cell r="F480" t="str">
            <v>000000000035122</v>
          </cell>
        </row>
        <row r="481">
          <cell r="A481" t="str">
            <v>SBM-007-001-0007914</v>
          </cell>
          <cell r="B481" t="str">
            <v>LOBBY DOOR REPAIRMENT</v>
          </cell>
          <cell r="C481" t="str">
            <v>PT GHANI META PERKASA</v>
          </cell>
          <cell r="D481">
            <v>1</v>
          </cell>
          <cell r="E481" t="str">
            <v>Lot</v>
          </cell>
          <cell r="F481" t="str">
            <v>000000000035123</v>
          </cell>
        </row>
        <row r="482">
          <cell r="A482" t="str">
            <v>SBM-004-098-0000027</v>
          </cell>
          <cell r="B482" t="str">
            <v>SCUN CABLE PCM 0.5 JST JAPAN</v>
          </cell>
          <cell r="C482" t="str">
            <v>PT MADANI MEGA SELARAS</v>
          </cell>
          <cell r="D482">
            <v>100</v>
          </cell>
          <cell r="E482" t="str">
            <v>Pcs</v>
          </cell>
          <cell r="F482" t="str">
            <v>000000000035125</v>
          </cell>
        </row>
        <row r="483">
          <cell r="A483" t="str">
            <v>SBM-004-098-0000028</v>
          </cell>
          <cell r="B483" t="str">
            <v>SCUN CABLE PCF 0.5 JST JAPAN</v>
          </cell>
          <cell r="C483" t="str">
            <v>PT MADANI MEGA SELARAS</v>
          </cell>
          <cell r="D483">
            <v>100</v>
          </cell>
          <cell r="E483" t="str">
            <v>Pcs</v>
          </cell>
          <cell r="F483" t="str">
            <v>000000000035125</v>
          </cell>
        </row>
        <row r="484">
          <cell r="A484" t="str">
            <v>SBM-003-054-0000072</v>
          </cell>
          <cell r="B484" t="str">
            <v>CHAIN COUPLING KC 6022</v>
          </cell>
          <cell r="C484" t="str">
            <v>PT MADANI MEGA SELARAS</v>
          </cell>
          <cell r="D484">
            <v>1</v>
          </cell>
          <cell r="E484" t="str">
            <v>Pcs</v>
          </cell>
          <cell r="F484" t="str">
            <v>000000000035125</v>
          </cell>
        </row>
        <row r="485">
          <cell r="A485" t="str">
            <v>SBM-010-003-0000462</v>
          </cell>
          <cell r="B485" t="str">
            <v>SARUNG REMOTE PLASTIK MIKA (CUSTOM)</v>
          </cell>
          <cell r="C485" t="str">
            <v>PT MADANI MEGA SELARAS</v>
          </cell>
          <cell r="D485">
            <v>1</v>
          </cell>
          <cell r="E485" t="str">
            <v>Pcs</v>
          </cell>
          <cell r="F485" t="str">
            <v>000000000035125</v>
          </cell>
        </row>
        <row r="486">
          <cell r="A486" t="str">
            <v>SBM-010-001-0000548</v>
          </cell>
          <cell r="B486" t="str">
            <v>ELECTRICAL TAPE</v>
          </cell>
          <cell r="C486" t="str">
            <v>PT MADANI MEGA SELARAS</v>
          </cell>
          <cell r="D486">
            <v>1</v>
          </cell>
          <cell r="E486" t="str">
            <v>Pcs</v>
          </cell>
          <cell r="F486" t="str">
            <v>000000000035125</v>
          </cell>
        </row>
        <row r="487">
          <cell r="A487" t="str">
            <v>SBM-003-156-0000056</v>
          </cell>
          <cell r="B487" t="str">
            <v>REMOTE I/O(SCREW TER/BLOCK) AJ65SBTB1-16</v>
          </cell>
          <cell r="C487" t="str">
            <v>PT MADANI MEGA SELARAS</v>
          </cell>
          <cell r="D487">
            <v>1</v>
          </cell>
          <cell r="E487" t="str">
            <v>Unit</v>
          </cell>
          <cell r="F487" t="str">
            <v>000000000035125</v>
          </cell>
        </row>
        <row r="488">
          <cell r="A488" t="str">
            <v>SBM-004-066-0000038</v>
          </cell>
          <cell r="B488" t="str">
            <v>TOYOX HOSE CLAMP ALL SUS SB-15</v>
          </cell>
          <cell r="C488" t="str">
            <v>PT MADANI MEGA SELARAS</v>
          </cell>
          <cell r="D488">
            <v>6</v>
          </cell>
          <cell r="E488" t="str">
            <v>Pcs</v>
          </cell>
          <cell r="F488" t="str">
            <v>000000000035125</v>
          </cell>
        </row>
        <row r="489">
          <cell r="A489" t="str">
            <v>SBM-003-059-0000003</v>
          </cell>
          <cell r="B489" t="str">
            <v>SKUN CONNECTOR (150-12)</v>
          </cell>
          <cell r="C489" t="str">
            <v>PT MADANI MEGA SELARAS</v>
          </cell>
          <cell r="D489">
            <v>17</v>
          </cell>
          <cell r="E489" t="str">
            <v>Pcs</v>
          </cell>
          <cell r="F489" t="str">
            <v>000000000035125</v>
          </cell>
        </row>
        <row r="490">
          <cell r="A490" t="str">
            <v>SBM-010-003-0000197</v>
          </cell>
          <cell r="B490" t="str">
            <v>SILICONE SEALANT DOWCORNING GRAY</v>
          </cell>
          <cell r="C490" t="str">
            <v>PT MADANI MEGA SELARAS</v>
          </cell>
          <cell r="D490">
            <v>1</v>
          </cell>
          <cell r="E490" t="str">
            <v>Pcs</v>
          </cell>
          <cell r="F490" t="str">
            <v>000000000035125</v>
          </cell>
        </row>
        <row r="491">
          <cell r="A491" t="str">
            <v>SBM-003-001-0000491</v>
          </cell>
          <cell r="B491" t="str">
            <v>POTENSIO 10K</v>
          </cell>
          <cell r="C491" t="str">
            <v>PT MADANI MEGA SELARAS</v>
          </cell>
          <cell r="D491">
            <v>1</v>
          </cell>
          <cell r="E491" t="str">
            <v>Pcs</v>
          </cell>
          <cell r="F491" t="str">
            <v>000000000035125</v>
          </cell>
        </row>
        <row r="492">
          <cell r="A492" t="str">
            <v>SBM-003-012-0000859</v>
          </cell>
          <cell r="B492" t="str">
            <v>AS DRAT M12X1M (BAJA)</v>
          </cell>
          <cell r="C492" t="str">
            <v>PT MADANI MEGA SELARAS</v>
          </cell>
          <cell r="D492">
            <v>2</v>
          </cell>
          <cell r="E492" t="str">
            <v>PCS</v>
          </cell>
          <cell r="F492" t="str">
            <v>000000000035125</v>
          </cell>
        </row>
        <row r="493">
          <cell r="A493" t="str">
            <v>SBM-003-012-0000861</v>
          </cell>
          <cell r="B493" t="str">
            <v>AS DRAT M16X1M (BAJA)</v>
          </cell>
          <cell r="C493" t="str">
            <v>PT MADANI MEGA SELARAS</v>
          </cell>
          <cell r="D493">
            <v>1</v>
          </cell>
          <cell r="E493" t="str">
            <v>PCS</v>
          </cell>
          <cell r="F493" t="str">
            <v>000000000035125</v>
          </cell>
        </row>
        <row r="494">
          <cell r="A494" t="str">
            <v>SBM-010-001-0000548</v>
          </cell>
          <cell r="B494" t="str">
            <v>ELECTRICAL TAPE</v>
          </cell>
          <cell r="C494" t="str">
            <v>PT MADANI MEGA SELARAS</v>
          </cell>
          <cell r="D494">
            <v>3</v>
          </cell>
          <cell r="E494" t="str">
            <v>Pcs</v>
          </cell>
          <cell r="F494" t="str">
            <v>000000000035125</v>
          </cell>
        </row>
        <row r="495">
          <cell r="A495" t="str">
            <v>SBM-010-004-0001178</v>
          </cell>
          <cell r="B495" t="str">
            <v>CLAMP HOSE 13-20 STAINLESS TOYOX SB-20</v>
          </cell>
          <cell r="C495" t="str">
            <v>PT MADANI MEGA SELARAS</v>
          </cell>
          <cell r="D495">
            <v>4</v>
          </cell>
          <cell r="E495" t="str">
            <v>PCS</v>
          </cell>
          <cell r="F495" t="str">
            <v>000000000035125</v>
          </cell>
        </row>
        <row r="496">
          <cell r="A496" t="str">
            <v>SBM-010-003-0000197</v>
          </cell>
          <cell r="B496" t="str">
            <v>SILICONE SEALANT DOWCORNING GRAY</v>
          </cell>
          <cell r="C496" t="str">
            <v>PT MADANI MEGA SELARAS</v>
          </cell>
          <cell r="D496">
            <v>2</v>
          </cell>
          <cell r="E496" t="str">
            <v>Pcs</v>
          </cell>
          <cell r="F496" t="str">
            <v>000000000035125</v>
          </cell>
        </row>
        <row r="497">
          <cell r="A497" t="str">
            <v>SBM-010-004-0001178</v>
          </cell>
          <cell r="B497" t="str">
            <v>CLAMP HOSE 13-20 STAINLESS TOYOX SB-20</v>
          </cell>
          <cell r="C497" t="str">
            <v>PT MADANI MEGA SELARAS</v>
          </cell>
          <cell r="D497">
            <v>3</v>
          </cell>
          <cell r="E497" t="str">
            <v>PCS</v>
          </cell>
          <cell r="F497" t="str">
            <v>000000000035125</v>
          </cell>
        </row>
        <row r="498">
          <cell r="A498" t="str">
            <v>SBM-010-001-0000548</v>
          </cell>
          <cell r="B498" t="str">
            <v>ELECTRICAL TAPE</v>
          </cell>
          <cell r="C498" t="str">
            <v>PT MADANI MEGA SELARAS</v>
          </cell>
          <cell r="D498">
            <v>1</v>
          </cell>
          <cell r="E498" t="str">
            <v>Pcs</v>
          </cell>
          <cell r="F498" t="str">
            <v>000000000035125</v>
          </cell>
        </row>
        <row r="499">
          <cell r="A499" t="str">
            <v>SBM-010-001-0000548</v>
          </cell>
          <cell r="B499" t="str">
            <v>ELECTRICAL TAPE</v>
          </cell>
          <cell r="C499" t="str">
            <v>PT MADANI MEGA SELARAS</v>
          </cell>
          <cell r="D499">
            <v>1</v>
          </cell>
          <cell r="E499" t="str">
            <v>Pcs</v>
          </cell>
          <cell r="F499" t="str">
            <v>000000000035125</v>
          </cell>
        </row>
        <row r="500">
          <cell r="A500" t="str">
            <v>SBM-004-002-0000126</v>
          </cell>
          <cell r="B500" t="str">
            <v>NIPPON RESIBON CUTTING WHEEL 14"</v>
          </cell>
          <cell r="C500" t="str">
            <v>PT MADANI MEGA SELARAS</v>
          </cell>
          <cell r="D500">
            <v>3</v>
          </cell>
          <cell r="E500" t="str">
            <v>PCS</v>
          </cell>
          <cell r="F500" t="str">
            <v>000000000035125</v>
          </cell>
        </row>
        <row r="501">
          <cell r="A501" t="str">
            <v>SBM-003-001-0002328</v>
          </cell>
          <cell r="B501" t="str">
            <v>RUBBER COUPLING GS 42 ROTEX</v>
          </cell>
          <cell r="C501" t="str">
            <v>PT MADANI MEGA SELARAS</v>
          </cell>
          <cell r="D501">
            <v>2</v>
          </cell>
          <cell r="E501" t="str">
            <v>Unit</v>
          </cell>
          <cell r="F501" t="str">
            <v>000000000035125</v>
          </cell>
        </row>
        <row r="502">
          <cell r="A502" t="str">
            <v>SBM-004-098-0000027</v>
          </cell>
          <cell r="B502" t="str">
            <v>SCUN CABLE PCM 0.5 JST JAPAN</v>
          </cell>
          <cell r="C502" t="str">
            <v>PT MADANI MEGA SELARAS</v>
          </cell>
          <cell r="D502">
            <v>100</v>
          </cell>
          <cell r="E502" t="str">
            <v>Pcs</v>
          </cell>
          <cell r="F502" t="str">
            <v>000000000035125</v>
          </cell>
        </row>
        <row r="503">
          <cell r="A503" t="str">
            <v>SBM-004-098-0000028</v>
          </cell>
          <cell r="B503" t="str">
            <v>SCUN CABLE PCF 0.5 JST JAPAN</v>
          </cell>
          <cell r="C503" t="str">
            <v>PT MADANI MEGA SELARAS</v>
          </cell>
          <cell r="D503">
            <v>100</v>
          </cell>
          <cell r="E503" t="str">
            <v>Pcs</v>
          </cell>
          <cell r="F503" t="str">
            <v>000000000035125</v>
          </cell>
        </row>
        <row r="504">
          <cell r="A504" t="str">
            <v>SBM-003-012-0000460</v>
          </cell>
          <cell r="B504" t="str">
            <v>SKUN KABEL 1.25-3.5 Y SNBS</v>
          </cell>
          <cell r="C504" t="str">
            <v>PT MADANI MEGA SELARAS</v>
          </cell>
          <cell r="D504">
            <v>1</v>
          </cell>
          <cell r="E504" t="str">
            <v>Pcs</v>
          </cell>
          <cell r="F504" t="str">
            <v>000000000035125</v>
          </cell>
        </row>
        <row r="505">
          <cell r="A505" t="str">
            <v>SBM-004-002-0000126</v>
          </cell>
          <cell r="B505" t="str">
            <v>NIPPON RESIBON CUTTING WHEEL 14"</v>
          </cell>
          <cell r="C505" t="str">
            <v>PT MADANI MEGA SELARAS</v>
          </cell>
          <cell r="D505">
            <v>1</v>
          </cell>
          <cell r="E505" t="str">
            <v>PCS</v>
          </cell>
          <cell r="F505" t="str">
            <v>000000000035126</v>
          </cell>
        </row>
        <row r="506">
          <cell r="A506" t="str">
            <v>SBM-004-098-0000028</v>
          </cell>
          <cell r="B506" t="str">
            <v>SCUN CABLE PCF 0.5 JST JAPAN</v>
          </cell>
          <cell r="C506" t="str">
            <v>PT MADANI MEGA SELARAS</v>
          </cell>
          <cell r="D506">
            <v>100</v>
          </cell>
          <cell r="E506" t="str">
            <v>Pcs</v>
          </cell>
          <cell r="F506" t="str">
            <v>000000000035126</v>
          </cell>
        </row>
        <row r="507">
          <cell r="A507" t="str">
            <v>SBM-004-098-0000027</v>
          </cell>
          <cell r="B507" t="str">
            <v>SCUN CABLE PCM 0.5 JST JAPAN</v>
          </cell>
          <cell r="C507" t="str">
            <v>PT MADANI MEGA SELARAS</v>
          </cell>
          <cell r="D507">
            <v>100</v>
          </cell>
          <cell r="E507" t="str">
            <v>Pcs</v>
          </cell>
          <cell r="F507" t="str">
            <v>000000000035126</v>
          </cell>
        </row>
        <row r="508">
          <cell r="A508" t="str">
            <v>SBM-010-003-0000177</v>
          </cell>
          <cell r="B508" t="str">
            <v>BAK CAT</v>
          </cell>
          <cell r="C508" t="str">
            <v>PT MADANI MEGA SELARAS</v>
          </cell>
          <cell r="D508">
            <v>2</v>
          </cell>
          <cell r="E508" t="str">
            <v>Pcs</v>
          </cell>
          <cell r="F508" t="str">
            <v>000000000035126</v>
          </cell>
        </row>
        <row r="509">
          <cell r="A509" t="str">
            <v>SBM-010-003-0000176</v>
          </cell>
          <cell r="B509" t="str">
            <v>ROLL BESAR + GAGANG BESI</v>
          </cell>
          <cell r="C509" t="str">
            <v>PT MADANI MEGA SELARAS</v>
          </cell>
          <cell r="D509">
            <v>3</v>
          </cell>
          <cell r="E509" t="str">
            <v>Pcs</v>
          </cell>
          <cell r="F509" t="str">
            <v>000000000035126</v>
          </cell>
        </row>
        <row r="510">
          <cell r="A510" t="str">
            <v>SBM-010-004-0001178</v>
          </cell>
          <cell r="B510" t="str">
            <v>CLAMP HOSE 13-20 STAINLESS TOYOX SB-20</v>
          </cell>
          <cell r="C510" t="str">
            <v>PT MADANI MEGA SELARAS</v>
          </cell>
          <cell r="D510">
            <v>2</v>
          </cell>
          <cell r="E510" t="str">
            <v>PCS</v>
          </cell>
          <cell r="F510" t="str">
            <v>000000000035126</v>
          </cell>
        </row>
        <row r="511">
          <cell r="A511" t="str">
            <v>SBM-004-002-0000206</v>
          </cell>
          <cell r="B511" t="str">
            <v>GAS CUTTING TORCH STRONG 8 CHIYODA JAPAN</v>
          </cell>
          <cell r="C511" t="str">
            <v>PT MADANI MEGA SELARAS</v>
          </cell>
          <cell r="D511">
            <v>1</v>
          </cell>
          <cell r="E511" t="str">
            <v>Pcs</v>
          </cell>
          <cell r="F511" t="str">
            <v>000000000035126</v>
          </cell>
        </row>
        <row r="512">
          <cell r="A512" t="str">
            <v>SBM-010-003-0000368</v>
          </cell>
          <cell r="B512" t="str">
            <v>ROLL CAT KECIL EPOXY 4" + GAGANG</v>
          </cell>
          <cell r="C512" t="str">
            <v>PT MADANI MEGA SELARAS</v>
          </cell>
          <cell r="D512">
            <v>2</v>
          </cell>
          <cell r="E512" t="str">
            <v>Pcs</v>
          </cell>
          <cell r="F512" t="str">
            <v>000000000035126</v>
          </cell>
        </row>
        <row r="513">
          <cell r="A513" t="str">
            <v>SBM-003-013-0000066</v>
          </cell>
          <cell r="B513" t="str">
            <v>NITTO, HI CUPLA 20 PM</v>
          </cell>
          <cell r="C513" t="str">
            <v>PT MADANI MEGA SELARAS</v>
          </cell>
          <cell r="D513">
            <v>1</v>
          </cell>
          <cell r="E513" t="str">
            <v>Unit</v>
          </cell>
          <cell r="F513" t="str">
            <v>000000000035126</v>
          </cell>
        </row>
        <row r="514">
          <cell r="A514" t="str">
            <v>SBM-010-003-0000368</v>
          </cell>
          <cell r="B514" t="str">
            <v>ROLL CAT KECIL EPOXY 4" + GAGANG</v>
          </cell>
          <cell r="C514" t="str">
            <v>PT MADANI MEGA SELARAS</v>
          </cell>
          <cell r="D514">
            <v>2</v>
          </cell>
          <cell r="E514" t="str">
            <v>Pcs</v>
          </cell>
          <cell r="F514" t="str">
            <v>000000000035126</v>
          </cell>
        </row>
        <row r="515">
          <cell r="A515" t="str">
            <v>SBM-004-001-0000560</v>
          </cell>
          <cell r="B515" t="str">
            <v>PUTTY SCRAPER 4"INCH</v>
          </cell>
          <cell r="C515" t="str">
            <v>PT MADANI MEGA SELARAS</v>
          </cell>
          <cell r="D515">
            <v>2</v>
          </cell>
          <cell r="E515" t="str">
            <v>Pcs</v>
          </cell>
          <cell r="F515" t="str">
            <v>000000000035126</v>
          </cell>
        </row>
        <row r="516">
          <cell r="A516" t="str">
            <v>SBM-010-001-0000449</v>
          </cell>
          <cell r="B516" t="str">
            <v>KARUNG GONI</v>
          </cell>
          <cell r="C516" t="str">
            <v>PT MADANI MEGA SELARAS</v>
          </cell>
          <cell r="D516">
            <v>2</v>
          </cell>
          <cell r="E516" t="str">
            <v>Pcs</v>
          </cell>
          <cell r="F516" t="str">
            <v>000000000035126</v>
          </cell>
        </row>
        <row r="517">
          <cell r="A517" t="str">
            <v>SBM-003-013-0000066</v>
          </cell>
          <cell r="B517" t="str">
            <v>NITTO, HI CUPLA 20 PM</v>
          </cell>
          <cell r="C517" t="str">
            <v>PT MADANI MEGA SELARAS</v>
          </cell>
          <cell r="D517">
            <v>2</v>
          </cell>
          <cell r="E517" t="str">
            <v>Unit</v>
          </cell>
          <cell r="F517" t="str">
            <v>000000000035126</v>
          </cell>
        </row>
        <row r="518">
          <cell r="A518" t="str">
            <v>SBM-006-001-0001324</v>
          </cell>
          <cell r="B518" t="str">
            <v>STOPPER IDH201-2004-462</v>
          </cell>
          <cell r="C518" t="str">
            <v>PT. Shiroi Indonesia</v>
          </cell>
          <cell r="D518">
            <v>20</v>
          </cell>
          <cell r="E518" t="str">
            <v>Pcs</v>
          </cell>
          <cell r="F518" t="str">
            <v>000000000035127</v>
          </cell>
        </row>
        <row r="519">
          <cell r="A519" t="str">
            <v>SBM-004-001-0000039</v>
          </cell>
          <cell r="B519" t="str">
            <v>SANDVIK/880-0704W06H-P-GM 4344</v>
          </cell>
          <cell r="C519" t="str">
            <v>PT. Sandvik Indonesia</v>
          </cell>
          <cell r="D519">
            <v>10</v>
          </cell>
          <cell r="E519" t="str">
            <v>PCS</v>
          </cell>
          <cell r="F519" t="str">
            <v>000000000035128</v>
          </cell>
        </row>
        <row r="520">
          <cell r="A520" t="str">
            <v>SBM-003-181-00000004</v>
          </cell>
          <cell r="B520" t="str">
            <v>HYDRAULIC CYLINDER PN.70H-8R1SD40BN110-</v>
          </cell>
          <cell r="C520" t="str">
            <v>PT. Kiso-Seiko Indonesia</v>
          </cell>
          <cell r="D520">
            <v>1</v>
          </cell>
          <cell r="E520" t="str">
            <v>Pcs</v>
          </cell>
          <cell r="F520" t="str">
            <v>000000000035129</v>
          </cell>
        </row>
        <row r="521">
          <cell r="A521" t="str">
            <v>SBM-010-001-0000656</v>
          </cell>
          <cell r="B521" t="str">
            <v>ANTI VIRUS KASPERSKY 1 CD FOR 3 USER</v>
          </cell>
          <cell r="C521" t="str">
            <v>PT. Jaya Buana Perkasa</v>
          </cell>
          <cell r="D521">
            <v>2</v>
          </cell>
          <cell r="E521" t="str">
            <v>Pcs</v>
          </cell>
          <cell r="F521" t="str">
            <v>000000000035130</v>
          </cell>
        </row>
        <row r="522">
          <cell r="A522" t="str">
            <v>SBM-009-004-0000004</v>
          </cell>
          <cell r="B522" t="str">
            <v>HELM TANIZAWA ST#147 EZ MATERIALPE ORANG</v>
          </cell>
          <cell r="C522" t="str">
            <v>PT. Wahana Karya Solusi</v>
          </cell>
          <cell r="D522">
            <v>2</v>
          </cell>
          <cell r="E522" t="str">
            <v>Pcs</v>
          </cell>
          <cell r="F522" t="str">
            <v>000000000035131</v>
          </cell>
        </row>
        <row r="523">
          <cell r="A523" t="str">
            <v>SBM-006-001-0000301</v>
          </cell>
          <cell r="B523" t="str">
            <v>IDH201-0004-903 #3 UPPER KNOCK DOWN PIN</v>
          </cell>
          <cell r="C523" t="str">
            <v>PT. Shiroi Indonesia</v>
          </cell>
          <cell r="D523">
            <v>50</v>
          </cell>
          <cell r="E523" t="str">
            <v>PCS</v>
          </cell>
          <cell r="F523" t="str">
            <v>000000000035132</v>
          </cell>
        </row>
        <row r="524">
          <cell r="A524" t="str">
            <v>SBM-006-001-0002181</v>
          </cell>
          <cell r="B524" t="str">
            <v>IDK201-01-533 #4HARD PLATE (UPPER) T=25.</v>
          </cell>
          <cell r="C524" t="str">
            <v>PT. Shiroi Indonesia</v>
          </cell>
          <cell r="D524">
            <v>2</v>
          </cell>
          <cell r="E524" t="str">
            <v>PCS</v>
          </cell>
          <cell r="F524" t="str">
            <v>000000000035132</v>
          </cell>
        </row>
        <row r="525">
          <cell r="A525" t="str">
            <v>SBM-006-001-0002179</v>
          </cell>
          <cell r="B525" t="str">
            <v>IDK201-01-530 #2 HARD PLATE (UPPER) T=25</v>
          </cell>
          <cell r="C525" t="str">
            <v>PT. Shiroi Indonesia</v>
          </cell>
          <cell r="D525">
            <v>3</v>
          </cell>
          <cell r="E525" t="str">
            <v>PCS</v>
          </cell>
          <cell r="F525" t="str">
            <v>000000000035132</v>
          </cell>
        </row>
        <row r="526">
          <cell r="A526" t="str">
            <v>SBM-007-001-0007558</v>
          </cell>
          <cell r="B526" t="str">
            <v>REPAIR LOWER BLADE D110 Ø32</v>
          </cell>
          <cell r="C526" t="str">
            <v>PT. Shiroi Indonesia</v>
          </cell>
          <cell r="D526">
            <v>5</v>
          </cell>
          <cell r="E526" t="str">
            <v>Lot</v>
          </cell>
          <cell r="F526" t="str">
            <v>000000000035133</v>
          </cell>
        </row>
        <row r="527">
          <cell r="A527" t="str">
            <v>SBM-007-001-0007909</v>
          </cell>
          <cell r="B527" t="str">
            <v>REPAIR UPPER BLADE 210X210 DIA 50-53</v>
          </cell>
          <cell r="C527" t="str">
            <v>PT. Shiroi Indonesia</v>
          </cell>
          <cell r="D527">
            <v>5</v>
          </cell>
          <cell r="E527" t="str">
            <v>PCS</v>
          </cell>
          <cell r="F527" t="str">
            <v>000000000035133</v>
          </cell>
        </row>
        <row r="528">
          <cell r="A528" t="str">
            <v>SBM-007-001-0007561</v>
          </cell>
          <cell r="B528" t="str">
            <v>REPAIR LOWER BLADE D210 Ø53</v>
          </cell>
          <cell r="C528" t="str">
            <v>PT. Shiroi Indonesia</v>
          </cell>
          <cell r="D528">
            <v>6</v>
          </cell>
          <cell r="E528" t="str">
            <v>Lot</v>
          </cell>
          <cell r="F528" t="str">
            <v>000000000035133</v>
          </cell>
        </row>
        <row r="529">
          <cell r="A529" t="str">
            <v>SBM-010-001-0000658</v>
          </cell>
          <cell r="B529" t="str">
            <v>BATTERAI SUPER ALKALINE CLR14 1.5V</v>
          </cell>
          <cell r="C529" t="str">
            <v>PT MADANI MEGA SELARAS</v>
          </cell>
          <cell r="D529">
            <v>12</v>
          </cell>
          <cell r="E529" t="str">
            <v>Pcs</v>
          </cell>
          <cell r="F529" t="str">
            <v>000000000035134</v>
          </cell>
        </row>
        <row r="530">
          <cell r="A530" t="str">
            <v>SBM-010-001-0000729</v>
          </cell>
          <cell r="B530" t="str">
            <v>BATTERY KANCING LITHIUM ENERGIZER CR2032</v>
          </cell>
          <cell r="C530" t="str">
            <v>PT MADANI MEGA SELARAS</v>
          </cell>
          <cell r="D530">
            <v>12</v>
          </cell>
          <cell r="E530" t="str">
            <v>Pcs</v>
          </cell>
          <cell r="F530" t="str">
            <v>000000000035134</v>
          </cell>
        </row>
        <row r="531">
          <cell r="A531" t="str">
            <v>SBM-010-001-0000388</v>
          </cell>
          <cell r="B531" t="str">
            <v>BATU BATERAI KECIL TYPE LR44 "MAXELL"</v>
          </cell>
          <cell r="C531" t="str">
            <v>PT MADANI MEGA SELARAS</v>
          </cell>
          <cell r="D531">
            <v>12</v>
          </cell>
          <cell r="E531" t="str">
            <v>Pcs</v>
          </cell>
          <cell r="F531" t="str">
            <v>000000000035134</v>
          </cell>
        </row>
        <row r="532">
          <cell r="A532" t="str">
            <v>SBM-004-038-0000064</v>
          </cell>
          <cell r="B532" t="str">
            <v>PROXIMITY SWITCH IR5034-177-300-091 SKF</v>
          </cell>
          <cell r="C532" t="str">
            <v>PT. Eiko Teknik Indonesia</v>
          </cell>
          <cell r="D532">
            <v>2</v>
          </cell>
          <cell r="E532" t="str">
            <v>PCS</v>
          </cell>
          <cell r="F532" t="str">
            <v>000000000035135</v>
          </cell>
        </row>
        <row r="533">
          <cell r="A533" t="str">
            <v>SBM-010-003-0000855</v>
          </cell>
          <cell r="B533" t="str">
            <v>WISE AIR TECH-KOREA MODEL :WAL-180-180</v>
          </cell>
          <cell r="C533" t="str">
            <v>PT. Eiko Teknik Indonesia</v>
          </cell>
          <cell r="D533">
            <v>1</v>
          </cell>
          <cell r="E533" t="str">
            <v>PCS</v>
          </cell>
          <cell r="F533" t="str">
            <v>000000000035136</v>
          </cell>
        </row>
        <row r="534">
          <cell r="A534" t="str">
            <v>SBM-006-001-0002359</v>
          </cell>
          <cell r="B534" t="str">
            <v>SHIM PLATE CUTTING BLADE UPPER 2000TAP 5</v>
          </cell>
          <cell r="C534" t="str">
            <v>PT. Shiroi Indonesia</v>
          </cell>
          <cell r="D534">
            <v>2</v>
          </cell>
          <cell r="E534" t="str">
            <v>PCS</v>
          </cell>
          <cell r="F534" t="str">
            <v>000000000035137</v>
          </cell>
        </row>
        <row r="535">
          <cell r="A535" t="str">
            <v>SBM-006-041-0000006</v>
          </cell>
          <cell r="B535" t="str">
            <v>EJECTOR PIN IDH251-4300-323</v>
          </cell>
          <cell r="C535" t="str">
            <v>PT. Shiroi Indonesia</v>
          </cell>
          <cell r="D535">
            <v>6</v>
          </cell>
          <cell r="E535" t="str">
            <v>Pcs</v>
          </cell>
          <cell r="F535" t="str">
            <v>000000000035138</v>
          </cell>
        </row>
        <row r="536">
          <cell r="A536" t="str">
            <v>SBM-006-112-0000056</v>
          </cell>
          <cell r="B536" t="str">
            <v>PIN IDH451-0009-903</v>
          </cell>
          <cell r="C536" t="str">
            <v>PT. Shiroi Indonesia</v>
          </cell>
          <cell r="D536">
            <v>12</v>
          </cell>
          <cell r="E536" t="str">
            <v>Pcs</v>
          </cell>
          <cell r="F536" t="str">
            <v>000000000035138</v>
          </cell>
        </row>
        <row r="537">
          <cell r="A537" t="str">
            <v>SBM-006-001-0001325</v>
          </cell>
          <cell r="B537" t="str">
            <v>SHIM PLATE IDH201-2004-463</v>
          </cell>
          <cell r="C537" t="str">
            <v>PT. Shiroi Indonesia</v>
          </cell>
          <cell r="D537">
            <v>5</v>
          </cell>
          <cell r="E537" t="str">
            <v>Pcs</v>
          </cell>
          <cell r="F537" t="str">
            <v>000000000035139</v>
          </cell>
        </row>
        <row r="538">
          <cell r="A538" t="str">
            <v>SBM-010-002-0002633</v>
          </cell>
          <cell r="B538" t="str">
            <v>AIR MOUSE 6 AXIS GYROSCOPE 2.4GHZ</v>
          </cell>
          <cell r="C538" t="str">
            <v>PT. Jaya Buana Perkasa</v>
          </cell>
          <cell r="D538">
            <v>2</v>
          </cell>
          <cell r="E538" t="str">
            <v>PCS</v>
          </cell>
          <cell r="F538" t="str">
            <v>000000000035140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E026-6845-44A4-8D37-838124B4EC0E}">
  <dimension ref="A1:K187"/>
  <sheetViews>
    <sheetView tabSelected="1" workbookViewId="0">
      <selection activeCell="D33" sqref="D33"/>
    </sheetView>
  </sheetViews>
  <sheetFormatPr defaultRowHeight="15" x14ac:dyDescent="0.25"/>
  <cols>
    <col min="1" max="1" width="24.140625" bestFit="1" customWidth="1"/>
    <col min="2" max="2" width="44.5703125" bestFit="1" customWidth="1"/>
    <col min="4" max="4" width="12.5703125" customWidth="1"/>
    <col min="5" max="5" width="18" customWidth="1"/>
    <col min="7" max="7" width="9.28515625" customWidth="1"/>
    <col min="8" max="8" width="12.5703125" customWidth="1"/>
    <col min="9" max="9" width="9.28515625" customWidth="1"/>
    <col min="10" max="10" width="9.140625" style="7"/>
    <col min="11" max="11" width="14" customWidth="1"/>
  </cols>
  <sheetData>
    <row r="1" spans="1:11" x14ac:dyDescent="0.25">
      <c r="A1" s="1" t="s">
        <v>0</v>
      </c>
      <c r="B1" s="1" t="s">
        <v>1</v>
      </c>
      <c r="C1" s="2" t="s">
        <v>373</v>
      </c>
      <c r="D1" s="3" t="s">
        <v>398</v>
      </c>
      <c r="E1" s="10" t="s">
        <v>374</v>
      </c>
      <c r="F1" s="3" t="s">
        <v>375</v>
      </c>
      <c r="G1" s="4" t="s">
        <v>376</v>
      </c>
      <c r="H1" s="4" t="s">
        <v>377</v>
      </c>
      <c r="I1" s="6" t="s">
        <v>378</v>
      </c>
      <c r="J1" s="4" t="s">
        <v>385</v>
      </c>
      <c r="K1" s="4" t="s">
        <v>389</v>
      </c>
    </row>
    <row r="2" spans="1:11" x14ac:dyDescent="0.25">
      <c r="A2" s="5" t="s">
        <v>6</v>
      </c>
      <c r="B2" s="5" t="s">
        <v>7</v>
      </c>
      <c r="C2" s="8">
        <v>0</v>
      </c>
      <c r="D2" s="8">
        <v>1</v>
      </c>
      <c r="E2" s="8" t="s">
        <v>381</v>
      </c>
      <c r="F2" s="8">
        <v>1</v>
      </c>
      <c r="G2" s="11">
        <v>1</v>
      </c>
      <c r="H2" s="8">
        <v>0</v>
      </c>
      <c r="I2" s="9">
        <v>0</v>
      </c>
      <c r="J2" s="8" t="s">
        <v>387</v>
      </c>
      <c r="K2" s="8" t="s">
        <v>390</v>
      </c>
    </row>
    <row r="3" spans="1:11" x14ac:dyDescent="0.25">
      <c r="A3" s="5" t="s">
        <v>20</v>
      </c>
      <c r="B3" s="5" t="s">
        <v>21</v>
      </c>
      <c r="C3" s="8">
        <v>0</v>
      </c>
      <c r="D3" s="8">
        <v>50</v>
      </c>
      <c r="E3" s="8" t="str">
        <f>IFERROR(VLOOKUP(A3,'[1]P O'!$A:$F,6,0),0)</f>
        <v>000000000035087</v>
      </c>
      <c r="F3" s="8">
        <v>50</v>
      </c>
      <c r="G3" s="11">
        <v>55</v>
      </c>
      <c r="H3" s="8">
        <v>10</v>
      </c>
      <c r="I3" s="9">
        <v>5</v>
      </c>
      <c r="J3" s="8" t="s">
        <v>387</v>
      </c>
      <c r="K3" s="8" t="s">
        <v>391</v>
      </c>
    </row>
    <row r="4" spans="1:11" x14ac:dyDescent="0.25">
      <c r="A4" s="5" t="s">
        <v>22</v>
      </c>
      <c r="B4" s="5" t="s">
        <v>23</v>
      </c>
      <c r="C4" s="8">
        <v>0</v>
      </c>
      <c r="D4" s="8">
        <v>50</v>
      </c>
      <c r="E4" s="8" t="str">
        <f>IFERROR(VLOOKUP(A4,'[1]P O'!$A:$F,6,0),0)</f>
        <v>000000000035087</v>
      </c>
      <c r="F4" s="8">
        <v>50</v>
      </c>
      <c r="G4" s="11">
        <v>60</v>
      </c>
      <c r="H4" s="8">
        <v>15</v>
      </c>
      <c r="I4" s="9">
        <v>10</v>
      </c>
      <c r="J4" s="8" t="s">
        <v>387</v>
      </c>
      <c r="K4" s="8" t="s">
        <v>391</v>
      </c>
    </row>
    <row r="5" spans="1:11" x14ac:dyDescent="0.25">
      <c r="A5" s="5" t="s">
        <v>30</v>
      </c>
      <c r="B5" s="5" t="s">
        <v>31</v>
      </c>
      <c r="C5" s="8">
        <v>0</v>
      </c>
      <c r="D5" s="8">
        <v>2</v>
      </c>
      <c r="E5" s="8" t="str">
        <f>IFERROR(VLOOKUP(A5,'[1]P O'!$A:$F,6,0),0)</f>
        <v>000000000033976</v>
      </c>
      <c r="F5" s="8">
        <v>2</v>
      </c>
      <c r="G5" s="11">
        <v>2</v>
      </c>
      <c r="H5" s="8">
        <v>1</v>
      </c>
      <c r="I5" s="9">
        <v>1</v>
      </c>
      <c r="J5" s="8" t="s">
        <v>387</v>
      </c>
      <c r="K5" s="8" t="s">
        <v>392</v>
      </c>
    </row>
    <row r="6" spans="1:11" x14ac:dyDescent="0.25">
      <c r="A6" s="5" t="s">
        <v>34</v>
      </c>
      <c r="B6" s="5" t="s">
        <v>35</v>
      </c>
      <c r="C6" s="8">
        <v>0</v>
      </c>
      <c r="D6" s="8">
        <v>5</v>
      </c>
      <c r="E6" s="8" t="str">
        <f>IFERROR(VLOOKUP(A6,'[1]P O'!$A:$F,6,0),0)</f>
        <v>000000000034973</v>
      </c>
      <c r="F6" s="8">
        <v>5</v>
      </c>
      <c r="G6" s="11">
        <v>10</v>
      </c>
      <c r="H6" s="8">
        <v>5</v>
      </c>
      <c r="I6" s="9">
        <v>5</v>
      </c>
      <c r="J6" s="8" t="s">
        <v>387</v>
      </c>
      <c r="K6" s="8" t="s">
        <v>390</v>
      </c>
    </row>
    <row r="7" spans="1:11" x14ac:dyDescent="0.25">
      <c r="A7" s="5" t="s">
        <v>52</v>
      </c>
      <c r="B7" s="5" t="s">
        <v>53</v>
      </c>
      <c r="C7" s="8">
        <v>0</v>
      </c>
      <c r="D7" s="8">
        <v>2</v>
      </c>
      <c r="E7" s="8" t="str">
        <f>IFERROR(VLOOKUP(A7,'[1]P O'!$A:$F,6,0),0)</f>
        <v>000000000035028</v>
      </c>
      <c r="F7" s="8">
        <v>3</v>
      </c>
      <c r="G7" s="11">
        <v>2</v>
      </c>
      <c r="H7" s="8">
        <v>1</v>
      </c>
      <c r="I7" s="9">
        <v>1</v>
      </c>
      <c r="J7" s="8" t="s">
        <v>387</v>
      </c>
      <c r="K7" s="8" t="s">
        <v>390</v>
      </c>
    </row>
    <row r="8" spans="1:11" x14ac:dyDescent="0.25">
      <c r="A8" s="5" t="s">
        <v>54</v>
      </c>
      <c r="B8" s="5" t="s">
        <v>55</v>
      </c>
      <c r="C8" s="8">
        <v>0</v>
      </c>
      <c r="D8" s="8">
        <v>3</v>
      </c>
      <c r="E8" s="8" t="str">
        <f>IFERROR(VLOOKUP(A8,'[1]P O'!$A:$F,6,0),0)</f>
        <v>000000000033976</v>
      </c>
      <c r="F8" s="8">
        <v>3</v>
      </c>
      <c r="G8" s="11">
        <v>4</v>
      </c>
      <c r="H8" s="8">
        <v>2</v>
      </c>
      <c r="I8" s="9">
        <v>2</v>
      </c>
      <c r="J8" s="8" t="s">
        <v>387</v>
      </c>
      <c r="K8" s="8" t="s">
        <v>392</v>
      </c>
    </row>
    <row r="9" spans="1:11" x14ac:dyDescent="0.25">
      <c r="A9" s="5" t="s">
        <v>56</v>
      </c>
      <c r="B9" s="5" t="s">
        <v>57</v>
      </c>
      <c r="C9" s="8">
        <v>0</v>
      </c>
      <c r="D9" s="8">
        <v>100</v>
      </c>
      <c r="E9" s="8" t="str">
        <f>IFERROR(VLOOKUP(A9,'[1]P O'!$A:$F,6,0),0)</f>
        <v>000000000035096</v>
      </c>
      <c r="F9" s="8">
        <v>100</v>
      </c>
      <c r="G9" s="11">
        <v>100</v>
      </c>
      <c r="H9" s="8">
        <v>0</v>
      </c>
      <c r="I9" s="9">
        <v>0</v>
      </c>
      <c r="J9" s="8" t="s">
        <v>387</v>
      </c>
      <c r="K9" s="8" t="s">
        <v>390</v>
      </c>
    </row>
    <row r="10" spans="1:11" x14ac:dyDescent="0.25">
      <c r="A10" s="5" t="s">
        <v>62</v>
      </c>
      <c r="B10" s="5" t="s">
        <v>63</v>
      </c>
      <c r="C10" s="8">
        <v>0</v>
      </c>
      <c r="D10" s="8">
        <v>8</v>
      </c>
      <c r="E10" s="8" t="str">
        <f>IFERROR(VLOOKUP(A10,'[1]P O'!$A:$F,6,0),0)</f>
        <v>000000000034992</v>
      </c>
      <c r="F10" s="8">
        <v>13</v>
      </c>
      <c r="G10" s="11">
        <v>8</v>
      </c>
      <c r="H10" s="8">
        <v>6</v>
      </c>
      <c r="I10" s="9">
        <v>6</v>
      </c>
      <c r="J10" s="8" t="s">
        <v>387</v>
      </c>
      <c r="K10" s="8" t="s">
        <v>392</v>
      </c>
    </row>
    <row r="11" spans="1:11" x14ac:dyDescent="0.25">
      <c r="A11" s="5" t="s">
        <v>68</v>
      </c>
      <c r="B11" s="5" t="s">
        <v>69</v>
      </c>
      <c r="C11" s="8">
        <v>0</v>
      </c>
      <c r="D11" s="8">
        <v>2</v>
      </c>
      <c r="E11" s="8" t="str">
        <f>IFERROR(VLOOKUP(A11,'[1]P O'!$A:$F,6,0),0)</f>
        <v>000000000034961</v>
      </c>
      <c r="F11" s="8">
        <v>3</v>
      </c>
      <c r="G11" s="11">
        <v>2</v>
      </c>
      <c r="H11" s="8">
        <v>1</v>
      </c>
      <c r="I11" s="9">
        <v>1</v>
      </c>
      <c r="J11" s="8" t="s">
        <v>387</v>
      </c>
      <c r="K11" s="8" t="s">
        <v>392</v>
      </c>
    </row>
    <row r="12" spans="1:11" x14ac:dyDescent="0.25">
      <c r="A12" s="5" t="s">
        <v>74</v>
      </c>
      <c r="B12" s="5" t="s">
        <v>75</v>
      </c>
      <c r="C12" s="8">
        <v>0</v>
      </c>
      <c r="D12" s="8">
        <v>20</v>
      </c>
      <c r="E12" s="8" t="str">
        <f>IFERROR(VLOOKUP(A12,'[1]P O'!$A:$F,6,0),0)</f>
        <v>000000000035106</v>
      </c>
      <c r="F12" s="8">
        <v>20</v>
      </c>
      <c r="G12" s="11">
        <v>20</v>
      </c>
      <c r="H12" s="8">
        <v>10</v>
      </c>
      <c r="I12" s="9">
        <v>5</v>
      </c>
      <c r="J12" s="8" t="s">
        <v>387</v>
      </c>
      <c r="K12" s="8" t="s">
        <v>393</v>
      </c>
    </row>
    <row r="13" spans="1:11" x14ac:dyDescent="0.25">
      <c r="A13" s="5" t="s">
        <v>120</v>
      </c>
      <c r="B13" s="5" t="s">
        <v>121</v>
      </c>
      <c r="C13" s="8">
        <v>0</v>
      </c>
      <c r="D13" s="8">
        <v>17</v>
      </c>
      <c r="E13" s="8" t="str">
        <f>IFERROR(VLOOKUP(A13,'[1]P O'!$A:$F,6,0),0)</f>
        <v>000000000035125</v>
      </c>
      <c r="F13" s="8">
        <v>17</v>
      </c>
      <c r="G13" s="11">
        <v>20</v>
      </c>
      <c r="H13" s="8">
        <v>10</v>
      </c>
      <c r="I13" s="9">
        <v>10</v>
      </c>
      <c r="J13" s="8" t="s">
        <v>387</v>
      </c>
      <c r="K13" s="8" t="s">
        <v>392</v>
      </c>
    </row>
    <row r="14" spans="1:11" x14ac:dyDescent="0.25">
      <c r="A14" s="5" t="s">
        <v>128</v>
      </c>
      <c r="B14" s="5" t="s">
        <v>129</v>
      </c>
      <c r="C14" s="8">
        <v>0</v>
      </c>
      <c r="D14" s="8">
        <v>2</v>
      </c>
      <c r="E14" s="8" t="str">
        <f>IFERROR(VLOOKUP(A14,'[1]P O'!$A:$F,6,0),0)</f>
        <v>000000000034992</v>
      </c>
      <c r="F14" s="8">
        <v>2</v>
      </c>
      <c r="G14" s="11">
        <v>8</v>
      </c>
      <c r="H14" s="8">
        <v>6</v>
      </c>
      <c r="I14" s="9">
        <v>6</v>
      </c>
      <c r="J14" s="8" t="s">
        <v>387</v>
      </c>
      <c r="K14" s="8" t="s">
        <v>392</v>
      </c>
    </row>
    <row r="15" spans="1:11" x14ac:dyDescent="0.25">
      <c r="A15" s="5" t="s">
        <v>130</v>
      </c>
      <c r="B15" s="5" t="s">
        <v>131</v>
      </c>
      <c r="C15" s="8">
        <v>0</v>
      </c>
      <c r="D15" s="8">
        <v>1</v>
      </c>
      <c r="E15" s="8" t="str">
        <f>IFERROR(VLOOKUP(A15,'[1]P O'!$A:$F,6,0),0)</f>
        <v>000000000034115</v>
      </c>
      <c r="F15" s="8">
        <v>1</v>
      </c>
      <c r="G15" s="11">
        <v>1</v>
      </c>
      <c r="H15" s="8">
        <v>0</v>
      </c>
      <c r="I15" s="9">
        <v>0</v>
      </c>
      <c r="J15" s="8" t="s">
        <v>387</v>
      </c>
      <c r="K15" s="8" t="s">
        <v>392</v>
      </c>
    </row>
    <row r="16" spans="1:11" x14ac:dyDescent="0.25">
      <c r="A16" s="5" t="s">
        <v>132</v>
      </c>
      <c r="B16" s="5" t="s">
        <v>133</v>
      </c>
      <c r="C16" s="8">
        <v>0</v>
      </c>
      <c r="D16" s="8">
        <v>3</v>
      </c>
      <c r="E16" s="8" t="str">
        <f>IFERROR(VLOOKUP(A16,'[1]P O'!$A:$F,6,0),0)</f>
        <v>000000000035125</v>
      </c>
      <c r="F16" s="8">
        <v>3</v>
      </c>
      <c r="G16" s="11">
        <v>8</v>
      </c>
      <c r="H16" s="8">
        <v>4</v>
      </c>
      <c r="I16" s="9">
        <v>4</v>
      </c>
      <c r="J16" s="8" t="s">
        <v>387</v>
      </c>
      <c r="K16" s="8" t="s">
        <v>392</v>
      </c>
    </row>
    <row r="17" spans="1:11" x14ac:dyDescent="0.25">
      <c r="A17" s="5" t="s">
        <v>142</v>
      </c>
      <c r="B17" s="5" t="s">
        <v>143</v>
      </c>
      <c r="C17" s="8">
        <v>0</v>
      </c>
      <c r="D17" s="8">
        <v>1</v>
      </c>
      <c r="E17" s="8" t="str">
        <f>IFERROR(VLOOKUP(A17,'[1]P O'!$A:$F,6,0),0)</f>
        <v>000000000034992</v>
      </c>
      <c r="F17" s="8">
        <v>1</v>
      </c>
      <c r="G17" s="11">
        <v>2</v>
      </c>
      <c r="H17" s="8">
        <v>1</v>
      </c>
      <c r="I17" s="9">
        <v>1</v>
      </c>
      <c r="J17" s="8" t="s">
        <v>387</v>
      </c>
      <c r="K17" s="8" t="s">
        <v>392</v>
      </c>
    </row>
    <row r="18" spans="1:11" x14ac:dyDescent="0.25">
      <c r="A18" s="5" t="s">
        <v>152</v>
      </c>
      <c r="B18" s="5" t="s">
        <v>153</v>
      </c>
      <c r="C18" s="8">
        <v>0</v>
      </c>
      <c r="D18" s="8">
        <v>1</v>
      </c>
      <c r="E18" s="8" t="str">
        <f>IFERROR(VLOOKUP(A18,'[1]P O'!$A:$F,6,0),0)</f>
        <v>000000000034987</v>
      </c>
      <c r="F18" s="8">
        <v>1</v>
      </c>
      <c r="G18" s="11">
        <v>2</v>
      </c>
      <c r="H18" s="8">
        <v>1</v>
      </c>
      <c r="I18" s="9">
        <v>1</v>
      </c>
      <c r="J18" s="8" t="s">
        <v>387</v>
      </c>
      <c r="K18" s="8" t="s">
        <v>392</v>
      </c>
    </row>
    <row r="19" spans="1:11" x14ac:dyDescent="0.25">
      <c r="A19" s="5" t="s">
        <v>158</v>
      </c>
      <c r="B19" s="5" t="s">
        <v>159</v>
      </c>
      <c r="C19" s="8">
        <v>0</v>
      </c>
      <c r="D19" s="8">
        <v>3</v>
      </c>
      <c r="E19" s="8">
        <f>IFERROR(VLOOKUP(A19,'[1]P O'!$A:$F,6,0),0)</f>
        <v>0</v>
      </c>
      <c r="F19" s="8">
        <v>10</v>
      </c>
      <c r="G19" s="11">
        <v>3</v>
      </c>
      <c r="H19" s="8">
        <v>2</v>
      </c>
      <c r="I19" s="9">
        <v>1</v>
      </c>
      <c r="J19" s="8" t="s">
        <v>387</v>
      </c>
      <c r="K19" s="8" t="s">
        <v>392</v>
      </c>
    </row>
    <row r="20" spans="1:11" x14ac:dyDescent="0.25">
      <c r="A20" s="5" t="s">
        <v>160</v>
      </c>
      <c r="B20" s="5" t="s">
        <v>161</v>
      </c>
      <c r="C20" s="8">
        <v>0</v>
      </c>
      <c r="D20" s="8">
        <v>2</v>
      </c>
      <c r="E20" s="8" t="str">
        <f>IFERROR(VLOOKUP(A20,'[1]P O'!$A:$F,6,0),0)</f>
        <v>000000000028605</v>
      </c>
      <c r="F20" s="8">
        <v>3</v>
      </c>
      <c r="G20" s="11">
        <v>2</v>
      </c>
      <c r="H20" s="8">
        <v>1</v>
      </c>
      <c r="I20" s="9">
        <v>1</v>
      </c>
      <c r="J20" s="8" t="s">
        <v>387</v>
      </c>
      <c r="K20" s="8" t="s">
        <v>392</v>
      </c>
    </row>
    <row r="21" spans="1:11" x14ac:dyDescent="0.25">
      <c r="A21" s="5" t="s">
        <v>162</v>
      </c>
      <c r="B21" s="5" t="s">
        <v>163</v>
      </c>
      <c r="C21" s="8">
        <v>0</v>
      </c>
      <c r="D21" s="8">
        <v>2</v>
      </c>
      <c r="E21" s="8" t="str">
        <f>IFERROR(VLOOKUP(A21,'[1]P O'!$A:$F,6,0),0)</f>
        <v>000000000028605</v>
      </c>
      <c r="F21" s="8">
        <v>3</v>
      </c>
      <c r="G21" s="11">
        <v>2</v>
      </c>
      <c r="H21" s="8">
        <v>1</v>
      </c>
      <c r="I21" s="9">
        <v>1</v>
      </c>
      <c r="J21" s="8" t="s">
        <v>387</v>
      </c>
      <c r="K21" s="8" t="s">
        <v>392</v>
      </c>
    </row>
    <row r="22" spans="1:11" x14ac:dyDescent="0.25">
      <c r="A22" s="5" t="s">
        <v>170</v>
      </c>
      <c r="B22" s="5" t="s">
        <v>171</v>
      </c>
      <c r="C22" s="8">
        <v>0</v>
      </c>
      <c r="D22" s="8">
        <v>6</v>
      </c>
      <c r="E22" s="8" t="str">
        <f>IFERROR(VLOOKUP(A22,'[1]P O'!$A:$F,6,0),0)</f>
        <v>000000000035125</v>
      </c>
      <c r="F22" s="8">
        <v>6</v>
      </c>
      <c r="G22" s="11">
        <v>8</v>
      </c>
      <c r="H22" s="8">
        <v>4</v>
      </c>
      <c r="I22" s="9">
        <v>4</v>
      </c>
      <c r="J22" s="8" t="s">
        <v>387</v>
      </c>
      <c r="K22" s="8" t="s">
        <v>392</v>
      </c>
    </row>
    <row r="23" spans="1:11" x14ac:dyDescent="0.25">
      <c r="A23" s="5" t="s">
        <v>174</v>
      </c>
      <c r="B23" s="5" t="s">
        <v>175</v>
      </c>
      <c r="C23" s="8">
        <v>0</v>
      </c>
      <c r="D23" s="8">
        <v>3</v>
      </c>
      <c r="E23" s="8">
        <f>IFERROR(VLOOKUP(A23,'[1]P O'!$A:$F,6,0),0)</f>
        <v>0</v>
      </c>
      <c r="F23" s="8">
        <v>12</v>
      </c>
      <c r="G23" s="11">
        <v>3</v>
      </c>
      <c r="H23" s="8">
        <v>2</v>
      </c>
      <c r="I23" s="9">
        <v>1</v>
      </c>
      <c r="J23" s="8" t="s">
        <v>387</v>
      </c>
      <c r="K23" s="8" t="s">
        <v>392</v>
      </c>
    </row>
    <row r="24" spans="1:11" x14ac:dyDescent="0.25">
      <c r="A24" s="5" t="s">
        <v>180</v>
      </c>
      <c r="B24" s="5" t="s">
        <v>181</v>
      </c>
      <c r="C24" s="8">
        <v>0</v>
      </c>
      <c r="D24" s="8">
        <v>2</v>
      </c>
      <c r="E24" s="8" t="str">
        <f>IFERROR(VLOOKUP(A24,'[1]P O'!$A:$F,6,0),0)</f>
        <v>000000000028605</v>
      </c>
      <c r="F24" s="8">
        <v>2</v>
      </c>
      <c r="G24" s="11">
        <v>2</v>
      </c>
      <c r="H24" s="8">
        <v>1</v>
      </c>
      <c r="I24" s="9">
        <v>1</v>
      </c>
      <c r="J24" s="8" t="s">
        <v>387</v>
      </c>
      <c r="K24" s="8" t="s">
        <v>392</v>
      </c>
    </row>
    <row r="25" spans="1:11" x14ac:dyDescent="0.25">
      <c r="A25" s="5" t="s">
        <v>182</v>
      </c>
      <c r="B25" s="5" t="s">
        <v>183</v>
      </c>
      <c r="C25" s="8">
        <v>0</v>
      </c>
      <c r="D25" s="8">
        <v>1</v>
      </c>
      <c r="E25" s="8" t="str">
        <f>IFERROR(VLOOKUP(A25,'[1]P O'!$A:$F,6,0),0)</f>
        <v>000000000034396</v>
      </c>
      <c r="F25" s="8">
        <v>1</v>
      </c>
      <c r="G25" s="11">
        <v>1</v>
      </c>
      <c r="H25" s="8">
        <v>1</v>
      </c>
      <c r="I25" s="9">
        <v>1</v>
      </c>
      <c r="J25" s="8" t="s">
        <v>387</v>
      </c>
      <c r="K25" s="8" t="s">
        <v>392</v>
      </c>
    </row>
    <row r="26" spans="1:11" x14ac:dyDescent="0.25">
      <c r="A26" s="5" t="s">
        <v>184</v>
      </c>
      <c r="B26" s="5" t="s">
        <v>185</v>
      </c>
      <c r="C26" s="8">
        <v>0</v>
      </c>
      <c r="D26" s="8">
        <v>1</v>
      </c>
      <c r="E26" s="8" t="str">
        <f>IFERROR(VLOOKUP(A26,'[1]P O'!$A:$F,6,0),0)</f>
        <v>000000000034396</v>
      </c>
      <c r="F26" s="8">
        <v>1</v>
      </c>
      <c r="G26" s="11">
        <v>1</v>
      </c>
      <c r="H26" s="8">
        <v>1</v>
      </c>
      <c r="I26" s="9">
        <v>1</v>
      </c>
      <c r="J26" s="8" t="s">
        <v>387</v>
      </c>
      <c r="K26" s="8" t="s">
        <v>392</v>
      </c>
    </row>
    <row r="27" spans="1:11" x14ac:dyDescent="0.25">
      <c r="A27" s="5" t="s">
        <v>186</v>
      </c>
      <c r="B27" s="5" t="s">
        <v>187</v>
      </c>
      <c r="C27" s="8">
        <v>0</v>
      </c>
      <c r="D27" s="8">
        <v>1</v>
      </c>
      <c r="E27" s="8" t="str">
        <f>IFERROR(VLOOKUP(A27,'[1]P O'!$A:$F,6,0),0)</f>
        <v>000000000034396</v>
      </c>
      <c r="F27" s="8">
        <v>1</v>
      </c>
      <c r="G27" s="11">
        <v>1</v>
      </c>
      <c r="H27" s="8">
        <v>0</v>
      </c>
      <c r="I27" s="9">
        <v>0</v>
      </c>
      <c r="J27" s="8" t="s">
        <v>387</v>
      </c>
      <c r="K27" s="8" t="s">
        <v>392</v>
      </c>
    </row>
    <row r="28" spans="1:11" x14ac:dyDescent="0.25">
      <c r="A28" s="5" t="s">
        <v>190</v>
      </c>
      <c r="B28" s="5" t="s">
        <v>191</v>
      </c>
      <c r="C28" s="8">
        <v>0</v>
      </c>
      <c r="D28" s="8">
        <v>2</v>
      </c>
      <c r="E28" s="8" t="str">
        <f>IFERROR(VLOOKUP(A28,'[1]P O'!$A:$F,6,0),0)</f>
        <v>000000000034984</v>
      </c>
      <c r="F28" s="8">
        <v>2</v>
      </c>
      <c r="G28" s="11">
        <v>4</v>
      </c>
      <c r="H28" s="8">
        <v>2</v>
      </c>
      <c r="I28" s="9">
        <v>2</v>
      </c>
      <c r="J28" s="8" t="s">
        <v>387</v>
      </c>
      <c r="K28" s="8" t="s">
        <v>392</v>
      </c>
    </row>
    <row r="29" spans="1:11" x14ac:dyDescent="0.25">
      <c r="A29" s="5" t="s">
        <v>194</v>
      </c>
      <c r="B29" s="5" t="s">
        <v>195</v>
      </c>
      <c r="C29" s="8">
        <v>0</v>
      </c>
      <c r="D29" s="8">
        <v>8</v>
      </c>
      <c r="E29" s="8" t="str">
        <f>IFERROR(VLOOKUP(A29,'[1]P O'!$A:$F,6,0),0)</f>
        <v>000000000034981</v>
      </c>
      <c r="F29" s="8">
        <v>8</v>
      </c>
      <c r="G29" s="11">
        <v>8</v>
      </c>
      <c r="H29" s="8">
        <v>4</v>
      </c>
      <c r="I29" s="9">
        <v>4</v>
      </c>
      <c r="J29" s="8" t="s">
        <v>387</v>
      </c>
      <c r="K29" s="8" t="s">
        <v>392</v>
      </c>
    </row>
    <row r="30" spans="1:11" x14ac:dyDescent="0.25">
      <c r="A30" s="5" t="s">
        <v>196</v>
      </c>
      <c r="B30" s="5" t="s">
        <v>197</v>
      </c>
      <c r="C30" s="8">
        <v>0</v>
      </c>
      <c r="D30" s="8">
        <v>1</v>
      </c>
      <c r="E30" s="8" t="str">
        <f>IFERROR(VLOOKUP(A30,'[1]P O'!$A:$F,6,0),0)</f>
        <v>000000000034165</v>
      </c>
      <c r="F30" s="8">
        <v>1</v>
      </c>
      <c r="G30" s="11">
        <v>1</v>
      </c>
      <c r="H30" s="8">
        <v>1</v>
      </c>
      <c r="I30" s="9">
        <v>1</v>
      </c>
      <c r="J30" s="8" t="s">
        <v>387</v>
      </c>
      <c r="K30" s="8" t="s">
        <v>392</v>
      </c>
    </row>
    <row r="31" spans="1:11" x14ac:dyDescent="0.25">
      <c r="A31" s="5" t="s">
        <v>198</v>
      </c>
      <c r="B31" s="5" t="s">
        <v>199</v>
      </c>
      <c r="C31" s="8">
        <v>0</v>
      </c>
      <c r="D31" s="8">
        <v>1</v>
      </c>
      <c r="E31" s="8" t="str">
        <f>IFERROR(VLOOKUP(A31,'[1]P O'!$A:$F,6,0),0)</f>
        <v>000000000033982</v>
      </c>
      <c r="F31" s="8">
        <v>1</v>
      </c>
      <c r="G31" s="11">
        <v>1</v>
      </c>
      <c r="H31" s="8">
        <v>1</v>
      </c>
      <c r="I31" s="9">
        <v>1</v>
      </c>
      <c r="J31" s="8" t="s">
        <v>387</v>
      </c>
      <c r="K31" s="8" t="s">
        <v>392</v>
      </c>
    </row>
    <row r="32" spans="1:11" x14ac:dyDescent="0.25">
      <c r="A32" s="5" t="s">
        <v>202</v>
      </c>
      <c r="B32" s="5" t="s">
        <v>203</v>
      </c>
      <c r="C32" s="8">
        <v>0</v>
      </c>
      <c r="D32" s="8">
        <v>2</v>
      </c>
      <c r="E32" s="8" t="str">
        <f>IFERROR(VLOOKUP(A32,'[1]P O'!$A:$F,6,0),0)</f>
        <v>000000000033976</v>
      </c>
      <c r="F32" s="8">
        <v>2</v>
      </c>
      <c r="G32" s="11">
        <v>2</v>
      </c>
      <c r="H32" s="8">
        <v>1</v>
      </c>
      <c r="I32" s="9">
        <v>1</v>
      </c>
      <c r="J32" s="8" t="s">
        <v>387</v>
      </c>
      <c r="K32" s="8" t="s">
        <v>392</v>
      </c>
    </row>
    <row r="33" spans="1:11" x14ac:dyDescent="0.25">
      <c r="A33" s="5" t="s">
        <v>206</v>
      </c>
      <c r="B33" s="5" t="s">
        <v>207</v>
      </c>
      <c r="C33" s="8">
        <v>0</v>
      </c>
      <c r="D33" s="8">
        <v>560</v>
      </c>
      <c r="E33" s="8" t="str">
        <f>IFERROR(VLOOKUP(A33,'[1]P O'!$A:$F,6,0),0)</f>
        <v>000000000034714</v>
      </c>
      <c r="F33" s="8">
        <v>560</v>
      </c>
      <c r="G33" s="11">
        <v>1120</v>
      </c>
      <c r="H33" s="8">
        <v>560</v>
      </c>
      <c r="I33" s="9">
        <v>560</v>
      </c>
      <c r="J33" s="8" t="s">
        <v>387</v>
      </c>
      <c r="K33" s="8" t="s">
        <v>392</v>
      </c>
    </row>
    <row r="34" spans="1:11" x14ac:dyDescent="0.25">
      <c r="A34" s="5" t="s">
        <v>208</v>
      </c>
      <c r="B34" s="5" t="s">
        <v>209</v>
      </c>
      <c r="C34" s="8">
        <v>0</v>
      </c>
      <c r="D34" s="8">
        <v>1</v>
      </c>
      <c r="E34" s="8" t="str">
        <f>IFERROR(VLOOKUP(A34,'[1]P O'!$A:$F,6,0),0)</f>
        <v>000000000035019</v>
      </c>
      <c r="F34" s="8">
        <v>1</v>
      </c>
      <c r="G34" s="11">
        <v>1</v>
      </c>
      <c r="H34" s="8">
        <v>1</v>
      </c>
      <c r="I34" s="9">
        <v>1</v>
      </c>
      <c r="J34" s="8" t="s">
        <v>387</v>
      </c>
      <c r="K34" s="8" t="s">
        <v>392</v>
      </c>
    </row>
    <row r="35" spans="1:11" x14ac:dyDescent="0.25">
      <c r="A35" s="5" t="s">
        <v>212</v>
      </c>
      <c r="B35" s="5" t="s">
        <v>213</v>
      </c>
      <c r="C35" s="8">
        <v>0</v>
      </c>
      <c r="D35" s="8">
        <v>3</v>
      </c>
      <c r="E35" s="8" t="str">
        <f>IFERROR(VLOOKUP(A35,'[1]P O'!$A:$F,6,0),0)</f>
        <v>000000000035126</v>
      </c>
      <c r="F35" s="8">
        <v>3</v>
      </c>
      <c r="G35" s="11">
        <v>3</v>
      </c>
      <c r="H35" s="8">
        <v>2</v>
      </c>
      <c r="I35" s="9">
        <v>1</v>
      </c>
      <c r="J35" s="8" t="s">
        <v>387</v>
      </c>
      <c r="K35" s="8" t="s">
        <v>391</v>
      </c>
    </row>
    <row r="36" spans="1:11" x14ac:dyDescent="0.25">
      <c r="A36" s="5" t="s">
        <v>214</v>
      </c>
      <c r="B36" s="5" t="s">
        <v>215</v>
      </c>
      <c r="C36" s="8">
        <v>0</v>
      </c>
      <c r="D36" s="8">
        <v>6</v>
      </c>
      <c r="E36" s="8" t="str">
        <f>IFERROR(VLOOKUP(A36,'[1]P O'!$A:$F,6,0),0)</f>
        <v>000000000034604</v>
      </c>
      <c r="F36" s="8">
        <v>8</v>
      </c>
      <c r="G36" s="11">
        <v>6</v>
      </c>
      <c r="H36" s="8">
        <v>4</v>
      </c>
      <c r="I36" s="9">
        <v>2</v>
      </c>
      <c r="J36" s="8" t="s">
        <v>387</v>
      </c>
      <c r="K36" s="8" t="s">
        <v>390</v>
      </c>
    </row>
    <row r="37" spans="1:11" x14ac:dyDescent="0.25">
      <c r="A37" s="5" t="s">
        <v>218</v>
      </c>
      <c r="B37" s="5" t="s">
        <v>219</v>
      </c>
      <c r="C37" s="8">
        <v>0</v>
      </c>
      <c r="D37" s="8">
        <v>5</v>
      </c>
      <c r="E37" s="8" t="str">
        <f>IFERROR(VLOOKUP(A37,'[1]P O'!$A:$F,6,0),0)</f>
        <v>000000000035095</v>
      </c>
      <c r="F37" s="8">
        <v>12</v>
      </c>
      <c r="G37" s="11">
        <v>5</v>
      </c>
      <c r="H37" s="8">
        <v>3</v>
      </c>
      <c r="I37" s="9">
        <v>2</v>
      </c>
      <c r="J37" s="8" t="s">
        <v>387</v>
      </c>
      <c r="K37" s="8" t="s">
        <v>391</v>
      </c>
    </row>
    <row r="38" spans="1:11" x14ac:dyDescent="0.25">
      <c r="A38" s="5" t="s">
        <v>222</v>
      </c>
      <c r="B38" s="5" t="s">
        <v>223</v>
      </c>
      <c r="C38" s="8">
        <v>0</v>
      </c>
      <c r="D38" s="8">
        <v>30</v>
      </c>
      <c r="E38" s="8" t="str">
        <f>IFERROR(VLOOKUP(A38,'[1]P O'!$A:$F,6,0),0)</f>
        <v>000000000029671</v>
      </c>
      <c r="F38" s="8">
        <v>30</v>
      </c>
      <c r="G38" s="11">
        <v>30</v>
      </c>
      <c r="H38" s="8">
        <v>12</v>
      </c>
      <c r="I38" s="9">
        <v>12</v>
      </c>
      <c r="J38" s="8" t="s">
        <v>387</v>
      </c>
      <c r="K38" s="8" t="s">
        <v>393</v>
      </c>
    </row>
    <row r="39" spans="1:11" x14ac:dyDescent="0.25">
      <c r="A39" s="5" t="s">
        <v>224</v>
      </c>
      <c r="B39" s="5" t="s">
        <v>225</v>
      </c>
      <c r="C39" s="8">
        <v>0</v>
      </c>
      <c r="D39" s="8">
        <v>1</v>
      </c>
      <c r="E39" s="8" t="str">
        <f>IFERROR(VLOOKUP(A39,'[1]P O'!$A:$F,6,0),0)</f>
        <v>000000000034316</v>
      </c>
      <c r="F39" s="8">
        <v>1</v>
      </c>
      <c r="G39" s="11">
        <v>1</v>
      </c>
      <c r="H39" s="8">
        <v>0</v>
      </c>
      <c r="I39" s="9">
        <v>0</v>
      </c>
      <c r="J39" s="8" t="s">
        <v>387</v>
      </c>
      <c r="K39" s="8" t="s">
        <v>392</v>
      </c>
    </row>
    <row r="40" spans="1:11" x14ac:dyDescent="0.25">
      <c r="A40" s="5" t="s">
        <v>228</v>
      </c>
      <c r="B40" s="5" t="s">
        <v>229</v>
      </c>
      <c r="C40" s="8">
        <v>0</v>
      </c>
      <c r="D40" s="8">
        <v>10</v>
      </c>
      <c r="E40" s="8" t="str">
        <f>IFERROR(VLOOKUP(A40,'[1]P O'!$A:$F,6,0),0)</f>
        <v>000000000034921</v>
      </c>
      <c r="F40" s="8">
        <v>10</v>
      </c>
      <c r="G40" s="11">
        <v>10</v>
      </c>
      <c r="H40" s="8">
        <v>4</v>
      </c>
      <c r="I40" s="9">
        <v>2</v>
      </c>
      <c r="J40" s="8" t="s">
        <v>387</v>
      </c>
      <c r="K40" s="8" t="s">
        <v>393</v>
      </c>
    </row>
    <row r="41" spans="1:11" x14ac:dyDescent="0.25">
      <c r="A41" s="5" t="s">
        <v>230</v>
      </c>
      <c r="B41" s="5" t="s">
        <v>231</v>
      </c>
      <c r="C41" s="8">
        <v>0</v>
      </c>
      <c r="D41" s="8">
        <v>1</v>
      </c>
      <c r="E41" s="8" t="str">
        <f>IFERROR(VLOOKUP(A41,'[1]P O'!$A:$F,6,0),0)</f>
        <v>000000000035013</v>
      </c>
      <c r="F41" s="8">
        <v>2</v>
      </c>
      <c r="G41" s="11">
        <v>1</v>
      </c>
      <c r="H41" s="8">
        <v>0</v>
      </c>
      <c r="I41" s="9">
        <v>0</v>
      </c>
      <c r="J41" s="8" t="s">
        <v>387</v>
      </c>
      <c r="K41" s="8" t="s">
        <v>392</v>
      </c>
    </row>
    <row r="42" spans="1:11" x14ac:dyDescent="0.25">
      <c r="A42" s="5" t="s">
        <v>234</v>
      </c>
      <c r="B42" s="5" t="s">
        <v>235</v>
      </c>
      <c r="C42" s="8">
        <v>0</v>
      </c>
      <c r="D42" s="8">
        <v>1</v>
      </c>
      <c r="E42" s="8" t="str">
        <f>IFERROR(VLOOKUP(A42,'[1]P O'!$A:$F,6,0),0)</f>
        <v>000000000034992</v>
      </c>
      <c r="F42" s="8">
        <v>1</v>
      </c>
      <c r="G42" s="11">
        <v>2</v>
      </c>
      <c r="H42" s="8">
        <v>1</v>
      </c>
      <c r="I42" s="9">
        <v>1</v>
      </c>
      <c r="J42" s="8" t="s">
        <v>387</v>
      </c>
      <c r="K42" s="8" t="s">
        <v>392</v>
      </c>
    </row>
    <row r="43" spans="1:11" x14ac:dyDescent="0.25">
      <c r="A43" s="5" t="s">
        <v>236</v>
      </c>
      <c r="B43" s="5" t="s">
        <v>237</v>
      </c>
      <c r="C43" s="8">
        <v>0</v>
      </c>
      <c r="D43" s="8">
        <v>1</v>
      </c>
      <c r="E43" s="8" t="str">
        <f>IFERROR(VLOOKUP(A43,'[1]P O'!$A:$F,6,0),0)</f>
        <v>000000000032474</v>
      </c>
      <c r="F43" s="8">
        <v>1</v>
      </c>
      <c r="G43" s="11">
        <v>2</v>
      </c>
      <c r="H43" s="8">
        <v>1</v>
      </c>
      <c r="I43" s="9">
        <v>1</v>
      </c>
      <c r="J43" s="8" t="s">
        <v>387</v>
      </c>
      <c r="K43" s="8" t="s">
        <v>392</v>
      </c>
    </row>
    <row r="44" spans="1:11" x14ac:dyDescent="0.25">
      <c r="A44" s="5" t="s">
        <v>248</v>
      </c>
      <c r="B44" s="5" t="s">
        <v>249</v>
      </c>
      <c r="C44" s="8">
        <v>0</v>
      </c>
      <c r="D44" s="8">
        <v>4</v>
      </c>
      <c r="E44" s="8" t="str">
        <f>IFERROR(VLOOKUP(A44,'[1]P O'!$A:$F,6,0),0)</f>
        <v>000000000035126</v>
      </c>
      <c r="F44" s="8">
        <v>4</v>
      </c>
      <c r="G44" s="11">
        <v>6</v>
      </c>
      <c r="H44" s="8">
        <v>4</v>
      </c>
      <c r="I44" s="9">
        <v>3</v>
      </c>
      <c r="J44" s="8" t="s">
        <v>387</v>
      </c>
      <c r="K44" s="8" t="s">
        <v>391</v>
      </c>
    </row>
    <row r="45" spans="1:11" x14ac:dyDescent="0.25">
      <c r="A45" s="5" t="s">
        <v>252</v>
      </c>
      <c r="B45" s="5" t="s">
        <v>253</v>
      </c>
      <c r="C45" s="8">
        <v>0</v>
      </c>
      <c r="D45" s="8">
        <v>1</v>
      </c>
      <c r="E45" s="8" t="str">
        <f>IFERROR(VLOOKUP(A45,'[1]P O'!$A:$F,6,0),0)</f>
        <v>000000000035018</v>
      </c>
      <c r="F45" s="8">
        <v>1</v>
      </c>
      <c r="G45" s="11">
        <v>1</v>
      </c>
      <c r="H45" s="8">
        <v>0</v>
      </c>
      <c r="I45" s="9">
        <v>0</v>
      </c>
      <c r="J45" s="8" t="s">
        <v>387</v>
      </c>
      <c r="K45" s="8" t="s">
        <v>392</v>
      </c>
    </row>
    <row r="46" spans="1:11" x14ac:dyDescent="0.25">
      <c r="A46" s="5" t="s">
        <v>260</v>
      </c>
      <c r="B46" s="5" t="s">
        <v>261</v>
      </c>
      <c r="C46" s="8">
        <v>0</v>
      </c>
      <c r="D46" s="8">
        <v>1</v>
      </c>
      <c r="E46" s="8" t="str">
        <f>IFERROR(VLOOKUP(A46,'[1]P O'!$A:$F,6,0),0)</f>
        <v>000000000034716</v>
      </c>
      <c r="F46" s="8">
        <v>1</v>
      </c>
      <c r="G46" s="11">
        <v>1</v>
      </c>
      <c r="H46" s="8">
        <v>0</v>
      </c>
      <c r="I46" s="9">
        <v>0</v>
      </c>
      <c r="J46" s="8" t="s">
        <v>387</v>
      </c>
      <c r="K46" s="8" t="s">
        <v>392</v>
      </c>
    </row>
    <row r="47" spans="1:11" x14ac:dyDescent="0.25">
      <c r="A47" s="5" t="s">
        <v>262</v>
      </c>
      <c r="B47" s="5" t="s">
        <v>263</v>
      </c>
      <c r="C47" s="8">
        <v>0</v>
      </c>
      <c r="D47" s="8">
        <v>1</v>
      </c>
      <c r="E47" s="8" t="str">
        <f>IFERROR(VLOOKUP(A47,'[1]P O'!$A:$F,6,0),0)</f>
        <v>000000000034716</v>
      </c>
      <c r="F47" s="8">
        <v>1</v>
      </c>
      <c r="G47" s="11">
        <v>1</v>
      </c>
      <c r="H47" s="8">
        <v>0</v>
      </c>
      <c r="I47" s="9">
        <v>0</v>
      </c>
      <c r="J47" s="8" t="s">
        <v>387</v>
      </c>
      <c r="K47" s="8" t="s">
        <v>392</v>
      </c>
    </row>
    <row r="48" spans="1:11" x14ac:dyDescent="0.25">
      <c r="A48" s="5" t="s">
        <v>264</v>
      </c>
      <c r="B48" s="5" t="s">
        <v>265</v>
      </c>
      <c r="C48" s="8">
        <v>0</v>
      </c>
      <c r="D48" s="8">
        <v>1</v>
      </c>
      <c r="E48" s="8" t="str">
        <f>IFERROR(VLOOKUP(A48,'[1]P O'!$A:$F,6,0),0)</f>
        <v>000000000034716</v>
      </c>
      <c r="F48" s="8">
        <v>1</v>
      </c>
      <c r="G48" s="11">
        <v>1</v>
      </c>
      <c r="H48" s="8">
        <v>0</v>
      </c>
      <c r="I48" s="9">
        <v>0</v>
      </c>
      <c r="J48" s="8" t="s">
        <v>387</v>
      </c>
      <c r="K48" s="8" t="s">
        <v>392</v>
      </c>
    </row>
    <row r="49" spans="1:11" x14ac:dyDescent="0.25">
      <c r="A49" s="5" t="s">
        <v>266</v>
      </c>
      <c r="B49" s="5" t="s">
        <v>267</v>
      </c>
      <c r="C49" s="8">
        <v>0</v>
      </c>
      <c r="D49" s="8">
        <v>1</v>
      </c>
      <c r="E49" s="8" t="str">
        <f>IFERROR(VLOOKUP(A49,'[1]P O'!$A:$F,6,0),0)</f>
        <v>000000000034716</v>
      </c>
      <c r="F49" s="8">
        <v>1</v>
      </c>
      <c r="G49" s="11">
        <v>1</v>
      </c>
      <c r="H49" s="8">
        <v>0</v>
      </c>
      <c r="I49" s="9">
        <v>0</v>
      </c>
      <c r="J49" s="8" t="s">
        <v>387</v>
      </c>
      <c r="K49" s="8" t="s">
        <v>392</v>
      </c>
    </row>
    <row r="50" spans="1:11" x14ac:dyDescent="0.25">
      <c r="A50" s="5" t="s">
        <v>268</v>
      </c>
      <c r="B50" s="5" t="s">
        <v>269</v>
      </c>
      <c r="C50" s="8">
        <v>0</v>
      </c>
      <c r="D50" s="8">
        <v>1</v>
      </c>
      <c r="E50" s="8" t="str">
        <f>IFERROR(VLOOKUP(A50,'[1]P O'!$A:$F,6,0),0)</f>
        <v>000000000034716</v>
      </c>
      <c r="F50" s="8">
        <v>1</v>
      </c>
      <c r="G50" s="11">
        <v>1</v>
      </c>
      <c r="H50" s="8">
        <v>0</v>
      </c>
      <c r="I50" s="9">
        <v>0</v>
      </c>
      <c r="J50" s="8" t="s">
        <v>387</v>
      </c>
      <c r="K50" s="8" t="s">
        <v>392</v>
      </c>
    </row>
    <row r="51" spans="1:11" x14ac:dyDescent="0.25">
      <c r="A51" s="5" t="s">
        <v>270</v>
      </c>
      <c r="B51" s="5" t="s">
        <v>271</v>
      </c>
      <c r="C51" s="8">
        <v>0</v>
      </c>
      <c r="D51" s="8">
        <v>1</v>
      </c>
      <c r="E51" s="8" t="str">
        <f>IFERROR(VLOOKUP(A51,'[1]P O'!$A:$F,6,0),0)</f>
        <v>000000000034716</v>
      </c>
      <c r="F51" s="8">
        <v>1</v>
      </c>
      <c r="G51" s="11">
        <v>1</v>
      </c>
      <c r="H51" s="8">
        <v>0</v>
      </c>
      <c r="I51" s="9">
        <v>0</v>
      </c>
      <c r="J51" s="8" t="s">
        <v>387</v>
      </c>
      <c r="K51" s="8" t="s">
        <v>392</v>
      </c>
    </row>
    <row r="52" spans="1:11" x14ac:dyDescent="0.25">
      <c r="A52" s="5" t="s">
        <v>274</v>
      </c>
      <c r="B52" s="5" t="s">
        <v>275</v>
      </c>
      <c r="C52" s="8">
        <v>0</v>
      </c>
      <c r="D52" s="8">
        <v>1</v>
      </c>
      <c r="E52" s="8" t="str">
        <f>IFERROR(VLOOKUP(A52,'[1]P O'!$A:$F,6,0),0)</f>
        <v>000000000034988</v>
      </c>
      <c r="F52" s="8">
        <v>1</v>
      </c>
      <c r="G52" s="11">
        <v>1</v>
      </c>
      <c r="H52" s="8">
        <v>0</v>
      </c>
      <c r="I52" s="9">
        <v>0</v>
      </c>
      <c r="J52" s="8" t="s">
        <v>387</v>
      </c>
      <c r="K52" s="8" t="s">
        <v>392</v>
      </c>
    </row>
    <row r="53" spans="1:11" x14ac:dyDescent="0.25">
      <c r="A53" s="5" t="s">
        <v>290</v>
      </c>
      <c r="B53" s="5" t="s">
        <v>291</v>
      </c>
      <c r="C53" s="8">
        <v>0</v>
      </c>
      <c r="D53" s="8">
        <v>7</v>
      </c>
      <c r="E53" s="8" t="str">
        <f>IFERROR(VLOOKUP(A53,'[1]P O'!$A:$F,6,0),0)</f>
        <v>000000000033986</v>
      </c>
      <c r="F53" s="8">
        <v>7</v>
      </c>
      <c r="G53" s="11">
        <v>7</v>
      </c>
      <c r="H53" s="8">
        <v>0</v>
      </c>
      <c r="I53" s="9">
        <v>5</v>
      </c>
      <c r="J53" s="8" t="s">
        <v>387</v>
      </c>
      <c r="K53" s="8" t="s">
        <v>390</v>
      </c>
    </row>
    <row r="54" spans="1:11" x14ac:dyDescent="0.25">
      <c r="A54" s="5" t="s">
        <v>300</v>
      </c>
      <c r="B54" s="5" t="s">
        <v>301</v>
      </c>
      <c r="C54" s="8">
        <v>0</v>
      </c>
      <c r="D54" s="8">
        <v>200</v>
      </c>
      <c r="E54" s="8" t="str">
        <f>IFERROR(VLOOKUP(A54,'[1]P O'!$A:$F,6,0),0)</f>
        <v>000000000035091</v>
      </c>
      <c r="F54" s="8">
        <v>200</v>
      </c>
      <c r="G54" s="11">
        <v>200</v>
      </c>
      <c r="H54" s="8">
        <v>100</v>
      </c>
      <c r="I54" s="9">
        <v>100</v>
      </c>
      <c r="J54" s="8" t="s">
        <v>387</v>
      </c>
      <c r="K54" s="8" t="s">
        <v>390</v>
      </c>
    </row>
    <row r="55" spans="1:11" x14ac:dyDescent="0.25">
      <c r="A55" s="5" t="s">
        <v>302</v>
      </c>
      <c r="B55" s="5" t="s">
        <v>303</v>
      </c>
      <c r="C55" s="8">
        <v>0</v>
      </c>
      <c r="D55" s="8">
        <v>100</v>
      </c>
      <c r="E55" s="8" t="str">
        <f>IFERROR(VLOOKUP(A55,'[1]P O'!$A:$F,6,0),0)</f>
        <v>000000000035091</v>
      </c>
      <c r="F55" s="8">
        <v>100</v>
      </c>
      <c r="G55" s="11">
        <v>100</v>
      </c>
      <c r="H55" s="8">
        <v>0</v>
      </c>
      <c r="I55" s="9">
        <v>0</v>
      </c>
      <c r="J55" s="8" t="s">
        <v>387</v>
      </c>
      <c r="K55" s="8" t="s">
        <v>390</v>
      </c>
    </row>
    <row r="56" spans="1:11" x14ac:dyDescent="0.25">
      <c r="A56" s="5" t="s">
        <v>304</v>
      </c>
      <c r="B56" s="5" t="s">
        <v>305</v>
      </c>
      <c r="C56" s="8">
        <v>0</v>
      </c>
      <c r="D56" s="8">
        <v>1</v>
      </c>
      <c r="E56" s="8" t="str">
        <f>IFERROR(VLOOKUP(A56,'[1]P O'!$A:$F,6,0),0)</f>
        <v>000000000035125</v>
      </c>
      <c r="F56" s="8">
        <v>1</v>
      </c>
      <c r="G56" s="11">
        <v>1</v>
      </c>
      <c r="H56" s="8">
        <v>0</v>
      </c>
      <c r="I56" s="9">
        <v>0</v>
      </c>
      <c r="J56" s="8" t="s">
        <v>387</v>
      </c>
      <c r="K56" s="8" t="s">
        <v>392</v>
      </c>
    </row>
    <row r="57" spans="1:11" x14ac:dyDescent="0.25">
      <c r="A57" s="5" t="s">
        <v>310</v>
      </c>
      <c r="B57" s="5" t="s">
        <v>311</v>
      </c>
      <c r="C57" s="8">
        <v>0</v>
      </c>
      <c r="D57" s="8">
        <v>10</v>
      </c>
      <c r="E57" s="8" t="str">
        <f>IFERROR(VLOOKUP(A57,'[1]P O'!$A:$F,6,0),0)</f>
        <v>000000000034597</v>
      </c>
      <c r="F57" s="8">
        <v>10</v>
      </c>
      <c r="G57" s="11">
        <v>10</v>
      </c>
      <c r="H57" s="8">
        <v>5</v>
      </c>
      <c r="I57" s="9">
        <v>5</v>
      </c>
      <c r="J57" s="8" t="s">
        <v>387</v>
      </c>
      <c r="K57" s="8" t="s">
        <v>390</v>
      </c>
    </row>
    <row r="58" spans="1:11" x14ac:dyDescent="0.25">
      <c r="A58" s="5" t="s">
        <v>316</v>
      </c>
      <c r="B58" s="5" t="s">
        <v>317</v>
      </c>
      <c r="C58" s="8">
        <v>0</v>
      </c>
      <c r="D58" s="8">
        <v>2</v>
      </c>
      <c r="E58" s="8" t="str">
        <f>IFERROR(VLOOKUP(A58,'[1]P O'!$A:$F,6,0),0)</f>
        <v>000000000035019</v>
      </c>
      <c r="F58" s="8">
        <v>2</v>
      </c>
      <c r="G58" s="11">
        <v>3</v>
      </c>
      <c r="H58" s="8">
        <v>2</v>
      </c>
      <c r="I58" s="9">
        <v>1</v>
      </c>
      <c r="J58" s="8" t="s">
        <v>387</v>
      </c>
      <c r="K58" s="8" t="s">
        <v>391</v>
      </c>
    </row>
    <row r="59" spans="1:11" x14ac:dyDescent="0.25">
      <c r="A59" s="5" t="s">
        <v>318</v>
      </c>
      <c r="B59" s="5" t="s">
        <v>319</v>
      </c>
      <c r="C59" s="8">
        <v>0</v>
      </c>
      <c r="D59" s="8">
        <v>3</v>
      </c>
      <c r="E59" s="8" t="str">
        <f>IFERROR(VLOOKUP(A59,'[1]P O'!$A:$F,6,0),0)</f>
        <v>000000000035019</v>
      </c>
      <c r="F59" s="8">
        <v>4</v>
      </c>
      <c r="G59" s="11">
        <v>3</v>
      </c>
      <c r="H59" s="8">
        <v>2</v>
      </c>
      <c r="I59" s="9">
        <v>2</v>
      </c>
      <c r="J59" s="8" t="s">
        <v>387</v>
      </c>
      <c r="K59" s="8" t="s">
        <v>391</v>
      </c>
    </row>
    <row r="60" spans="1:11" x14ac:dyDescent="0.25">
      <c r="A60" s="5" t="s">
        <v>320</v>
      </c>
      <c r="B60" s="5" t="s">
        <v>321</v>
      </c>
      <c r="C60" s="8">
        <v>0</v>
      </c>
      <c r="D60" s="8">
        <v>6</v>
      </c>
      <c r="E60" s="8">
        <f>IFERROR(VLOOKUP(A60,'[1]P O'!$A:$F,6,0),0)</f>
        <v>0</v>
      </c>
      <c r="F60" s="8">
        <v>6</v>
      </c>
      <c r="G60" s="11">
        <v>6</v>
      </c>
      <c r="H60" s="8">
        <v>4</v>
      </c>
      <c r="I60" s="9">
        <v>3</v>
      </c>
      <c r="J60" s="8" t="s">
        <v>387</v>
      </c>
      <c r="K60" s="8" t="s">
        <v>392</v>
      </c>
    </row>
    <row r="61" spans="1:11" x14ac:dyDescent="0.25">
      <c r="A61" s="5" t="s">
        <v>322</v>
      </c>
      <c r="B61" s="5" t="s">
        <v>323</v>
      </c>
      <c r="C61" s="8">
        <v>0</v>
      </c>
      <c r="D61" s="8">
        <v>10</v>
      </c>
      <c r="E61" s="8" t="str">
        <f>IFERROR(VLOOKUP(A61,'[1]P O'!$A:$F,6,0),0)</f>
        <v>000000000034988</v>
      </c>
      <c r="F61" s="8">
        <v>12</v>
      </c>
      <c r="G61" s="11">
        <v>10</v>
      </c>
      <c r="H61" s="8">
        <v>8</v>
      </c>
      <c r="I61" s="9">
        <v>5</v>
      </c>
      <c r="J61" s="8" t="s">
        <v>387</v>
      </c>
      <c r="K61" s="8" t="s">
        <v>392</v>
      </c>
    </row>
    <row r="62" spans="1:11" x14ac:dyDescent="0.25">
      <c r="A62" s="5" t="s">
        <v>338</v>
      </c>
      <c r="B62" s="5" t="s">
        <v>339</v>
      </c>
      <c r="C62" s="8">
        <v>0</v>
      </c>
      <c r="D62" s="8">
        <v>1</v>
      </c>
      <c r="E62" s="8" t="str">
        <f>IFERROR(VLOOKUP(A62,'[1]P O'!$A:$F,6,0),0)</f>
        <v>000000000034030</v>
      </c>
      <c r="F62" s="8">
        <v>1</v>
      </c>
      <c r="G62" s="11">
        <v>1</v>
      </c>
      <c r="H62" s="8">
        <v>0</v>
      </c>
      <c r="I62" s="9">
        <v>0</v>
      </c>
      <c r="J62" s="8" t="s">
        <v>387</v>
      </c>
      <c r="K62" s="8" t="s">
        <v>394</v>
      </c>
    </row>
    <row r="63" spans="1:11" x14ac:dyDescent="0.25">
      <c r="A63" s="5" t="s">
        <v>350</v>
      </c>
      <c r="B63" s="5" t="s">
        <v>351</v>
      </c>
      <c r="C63" s="8">
        <v>0</v>
      </c>
      <c r="D63" s="8">
        <v>4</v>
      </c>
      <c r="E63" s="8" t="str">
        <f>IFERROR(VLOOKUP(A63,'[1]P O'!$A:$F,6,0),0)</f>
        <v>000000000034921</v>
      </c>
      <c r="F63" s="8">
        <v>4</v>
      </c>
      <c r="G63" s="11">
        <v>4</v>
      </c>
      <c r="H63" s="8">
        <v>3</v>
      </c>
      <c r="I63" s="9">
        <v>2</v>
      </c>
      <c r="J63" s="8" t="s">
        <v>387</v>
      </c>
      <c r="K63" s="8" t="s">
        <v>393</v>
      </c>
    </row>
    <row r="64" spans="1:11" x14ac:dyDescent="0.25">
      <c r="A64" s="5" t="s">
        <v>358</v>
      </c>
      <c r="B64" s="5" t="s">
        <v>359</v>
      </c>
      <c r="C64" s="8">
        <v>0</v>
      </c>
      <c r="D64" s="8">
        <v>1</v>
      </c>
      <c r="E64" s="8" t="str">
        <f>IFERROR(VLOOKUP(A64,'[1]P O'!$A:$F,6,0),0)</f>
        <v>000000000035012</v>
      </c>
      <c r="F64" s="8">
        <v>1</v>
      </c>
      <c r="G64" s="11">
        <v>1</v>
      </c>
      <c r="H64" s="8">
        <v>1</v>
      </c>
      <c r="I64" s="9">
        <v>0</v>
      </c>
      <c r="J64" s="8" t="s">
        <v>387</v>
      </c>
      <c r="K64" s="8" t="s">
        <v>392</v>
      </c>
    </row>
    <row r="65" spans="1:11" x14ac:dyDescent="0.25">
      <c r="A65" s="5" t="s">
        <v>362</v>
      </c>
      <c r="B65" s="5" t="s">
        <v>363</v>
      </c>
      <c r="C65" s="8">
        <v>0</v>
      </c>
      <c r="D65" s="8">
        <v>4</v>
      </c>
      <c r="E65" s="8" t="str">
        <f>IFERROR(VLOOKUP(A65,'[1]P O'!$A:$F,6,0),0)</f>
        <v>000000000035015</v>
      </c>
      <c r="F65" s="8">
        <v>4</v>
      </c>
      <c r="G65" s="11">
        <v>4</v>
      </c>
      <c r="H65" s="8">
        <v>3</v>
      </c>
      <c r="I65" s="9">
        <v>2</v>
      </c>
      <c r="J65" s="8" t="s">
        <v>387</v>
      </c>
      <c r="K65" s="8" t="s">
        <v>392</v>
      </c>
    </row>
    <row r="66" spans="1:11" x14ac:dyDescent="0.25">
      <c r="A66" s="5" t="s">
        <v>364</v>
      </c>
      <c r="B66" s="5" t="s">
        <v>365</v>
      </c>
      <c r="C66" s="8">
        <v>0</v>
      </c>
      <c r="D66" s="8">
        <v>6</v>
      </c>
      <c r="E66" s="8" t="str">
        <f>IFERROR(VLOOKUP(A66,'[1]P O'!$A:$F,6,0),0)</f>
        <v>000000000035015</v>
      </c>
      <c r="F66" s="8">
        <v>6</v>
      </c>
      <c r="G66" s="11">
        <v>6</v>
      </c>
      <c r="H66" s="8">
        <v>4</v>
      </c>
      <c r="I66" s="9">
        <v>2</v>
      </c>
      <c r="J66" s="8" t="s">
        <v>387</v>
      </c>
      <c r="K66" s="8" t="s">
        <v>392</v>
      </c>
    </row>
    <row r="67" spans="1:11" x14ac:dyDescent="0.25">
      <c r="A67" s="5" t="s">
        <v>366</v>
      </c>
      <c r="B67" s="5" t="s">
        <v>367</v>
      </c>
      <c r="C67" s="8">
        <v>0</v>
      </c>
      <c r="D67" s="8">
        <v>4</v>
      </c>
      <c r="E67" s="8" t="str">
        <f>IFERROR(VLOOKUP(A67,'[1]P O'!$A:$F,6,0),0)</f>
        <v>000000000035015</v>
      </c>
      <c r="F67" s="8">
        <v>4</v>
      </c>
      <c r="G67" s="11">
        <v>4</v>
      </c>
      <c r="H67" s="8">
        <v>3</v>
      </c>
      <c r="I67" s="9">
        <v>2</v>
      </c>
      <c r="J67" s="8" t="s">
        <v>387</v>
      </c>
      <c r="K67" s="8" t="s">
        <v>392</v>
      </c>
    </row>
    <row r="68" spans="1:11" x14ac:dyDescent="0.25">
      <c r="A68" s="5" t="s">
        <v>369</v>
      </c>
      <c r="B68" s="5" t="s">
        <v>370</v>
      </c>
      <c r="C68" s="8">
        <v>0</v>
      </c>
      <c r="D68" s="8">
        <v>1</v>
      </c>
      <c r="E68" s="8" t="str">
        <f>IFERROR(VLOOKUP(A68,'[1]P O'!$A:$F,6,0),0)</f>
        <v>000000000035015</v>
      </c>
      <c r="F68" s="8">
        <v>1</v>
      </c>
      <c r="G68" s="11">
        <v>1</v>
      </c>
      <c r="H68" s="8">
        <v>1</v>
      </c>
      <c r="I68" s="9">
        <v>1</v>
      </c>
      <c r="J68" s="8" t="s">
        <v>387</v>
      </c>
      <c r="K68" s="8" t="s">
        <v>392</v>
      </c>
    </row>
    <row r="69" spans="1:11" x14ac:dyDescent="0.25">
      <c r="A69" s="5" t="s">
        <v>2</v>
      </c>
      <c r="B69" s="5" t="s">
        <v>3</v>
      </c>
      <c r="C69" s="8">
        <v>15</v>
      </c>
      <c r="D69" s="8">
        <v>50</v>
      </c>
      <c r="E69" s="8" t="s">
        <v>379</v>
      </c>
      <c r="F69" s="8">
        <v>50</v>
      </c>
      <c r="G69" s="11">
        <v>50</v>
      </c>
      <c r="H69" s="8">
        <v>26</v>
      </c>
      <c r="I69" s="9">
        <v>18</v>
      </c>
      <c r="J69" s="8" t="s">
        <v>386</v>
      </c>
      <c r="K69" s="8" t="s">
        <v>391</v>
      </c>
    </row>
    <row r="70" spans="1:11" x14ac:dyDescent="0.25">
      <c r="A70" s="5" t="s">
        <v>4</v>
      </c>
      <c r="B70" s="5" t="s">
        <v>5</v>
      </c>
      <c r="C70" s="8">
        <v>1</v>
      </c>
      <c r="D70" s="8">
        <v>1</v>
      </c>
      <c r="E70" s="8" t="s">
        <v>380</v>
      </c>
      <c r="F70" s="8">
        <v>1</v>
      </c>
      <c r="G70" s="11">
        <v>2</v>
      </c>
      <c r="H70" s="8">
        <v>1</v>
      </c>
      <c r="I70" s="9">
        <v>1</v>
      </c>
      <c r="J70" s="8" t="s">
        <v>386</v>
      </c>
      <c r="K70" s="8" t="s">
        <v>390</v>
      </c>
    </row>
    <row r="71" spans="1:11" x14ac:dyDescent="0.25">
      <c r="A71" s="5" t="s">
        <v>10</v>
      </c>
      <c r="B71" s="5" t="s">
        <v>11</v>
      </c>
      <c r="C71" s="8">
        <v>30</v>
      </c>
      <c r="D71" s="8">
        <v>20</v>
      </c>
      <c r="E71" s="8" t="s">
        <v>383</v>
      </c>
      <c r="F71" s="8">
        <v>50</v>
      </c>
      <c r="G71" s="11">
        <v>50</v>
      </c>
      <c r="H71" s="8">
        <v>30</v>
      </c>
      <c r="I71" s="9">
        <v>15</v>
      </c>
      <c r="J71" s="8" t="s">
        <v>386</v>
      </c>
      <c r="K71" s="8" t="s">
        <v>393</v>
      </c>
    </row>
    <row r="72" spans="1:11" x14ac:dyDescent="0.25">
      <c r="A72" s="5" t="s">
        <v>12</v>
      </c>
      <c r="B72" s="5" t="s">
        <v>13</v>
      </c>
      <c r="C72" s="8">
        <v>14</v>
      </c>
      <c r="D72" s="8">
        <v>16</v>
      </c>
      <c r="E72" s="8" t="s">
        <v>383</v>
      </c>
      <c r="F72" s="8">
        <v>20</v>
      </c>
      <c r="G72" s="11">
        <v>30</v>
      </c>
      <c r="H72" s="8">
        <v>20</v>
      </c>
      <c r="I72" s="9">
        <v>10</v>
      </c>
      <c r="J72" s="8" t="s">
        <v>386</v>
      </c>
      <c r="K72" s="8" t="s">
        <v>393</v>
      </c>
    </row>
    <row r="73" spans="1:11" x14ac:dyDescent="0.25">
      <c r="A73" s="5" t="s">
        <v>14</v>
      </c>
      <c r="B73" s="5" t="s">
        <v>15</v>
      </c>
      <c r="C73" s="8">
        <v>35</v>
      </c>
      <c r="D73" s="8">
        <v>50</v>
      </c>
      <c r="E73" s="8" t="s">
        <v>384</v>
      </c>
      <c r="F73" s="8">
        <v>50</v>
      </c>
      <c r="G73" s="11">
        <v>80</v>
      </c>
      <c r="H73" s="8">
        <v>45</v>
      </c>
      <c r="I73" s="9">
        <v>30</v>
      </c>
      <c r="J73" s="8" t="s">
        <v>386</v>
      </c>
      <c r="K73" s="8" t="s">
        <v>391</v>
      </c>
    </row>
    <row r="74" spans="1:11" x14ac:dyDescent="0.25">
      <c r="A74" s="5" t="s">
        <v>16</v>
      </c>
      <c r="B74" s="5" t="s">
        <v>17</v>
      </c>
      <c r="C74" s="8">
        <v>16</v>
      </c>
      <c r="D74" s="8">
        <v>50</v>
      </c>
      <c r="E74" s="8" t="s">
        <v>384</v>
      </c>
      <c r="F74" s="8">
        <v>50</v>
      </c>
      <c r="G74" s="11">
        <v>60</v>
      </c>
      <c r="H74" s="8">
        <v>30</v>
      </c>
      <c r="I74" s="9">
        <v>10</v>
      </c>
      <c r="J74" s="8" t="s">
        <v>386</v>
      </c>
      <c r="K74" s="8" t="s">
        <v>391</v>
      </c>
    </row>
    <row r="75" spans="1:11" x14ac:dyDescent="0.25">
      <c r="A75" s="5" t="s">
        <v>18</v>
      </c>
      <c r="B75" s="5" t="s">
        <v>19</v>
      </c>
      <c r="C75" s="8">
        <v>10</v>
      </c>
      <c r="D75" s="8">
        <v>50</v>
      </c>
      <c r="E75" s="8" t="str">
        <f>IFERROR(VLOOKUP(A75,'[1]P O'!$A:$F,6,0),0)</f>
        <v>000000000035087</v>
      </c>
      <c r="F75" s="8">
        <v>50</v>
      </c>
      <c r="G75" s="11">
        <v>60</v>
      </c>
      <c r="H75" s="8">
        <v>15</v>
      </c>
      <c r="I75" s="9">
        <v>10</v>
      </c>
      <c r="J75" s="8" t="s">
        <v>386</v>
      </c>
      <c r="K75" s="8" t="s">
        <v>391</v>
      </c>
    </row>
    <row r="76" spans="1:11" x14ac:dyDescent="0.25">
      <c r="A76" s="5" t="s">
        <v>24</v>
      </c>
      <c r="B76" s="5" t="s">
        <v>25</v>
      </c>
      <c r="C76" s="8">
        <v>16</v>
      </c>
      <c r="D76" s="8">
        <v>50</v>
      </c>
      <c r="E76" s="8" t="str">
        <f>IFERROR(VLOOKUP(A76,'[1]P O'!$A:$F,6,0),0)</f>
        <v>000000000035087</v>
      </c>
      <c r="F76" s="8">
        <v>50</v>
      </c>
      <c r="G76" s="11">
        <v>60</v>
      </c>
      <c r="H76" s="8">
        <v>30</v>
      </c>
      <c r="I76" s="9">
        <v>10</v>
      </c>
      <c r="J76" s="8" t="s">
        <v>386</v>
      </c>
      <c r="K76" s="8" t="s">
        <v>391</v>
      </c>
    </row>
    <row r="77" spans="1:11" x14ac:dyDescent="0.25">
      <c r="A77" s="5" t="s">
        <v>26</v>
      </c>
      <c r="B77" s="5" t="s">
        <v>27</v>
      </c>
      <c r="C77" s="8">
        <v>76</v>
      </c>
      <c r="D77" s="8">
        <v>50</v>
      </c>
      <c r="E77" s="8" t="str">
        <f>IFERROR(VLOOKUP(A77,'[1]P O'!$A:$F,6,0),0)</f>
        <v>000000000035087</v>
      </c>
      <c r="F77" s="8">
        <v>50</v>
      </c>
      <c r="G77" s="11">
        <v>120</v>
      </c>
      <c r="H77" s="8">
        <v>90</v>
      </c>
      <c r="I77" s="9">
        <v>60</v>
      </c>
      <c r="J77" s="8" t="s">
        <v>386</v>
      </c>
      <c r="K77" s="8" t="s">
        <v>391</v>
      </c>
    </row>
    <row r="78" spans="1:11" x14ac:dyDescent="0.25">
      <c r="A78" s="5" t="s">
        <v>28</v>
      </c>
      <c r="B78" s="5" t="s">
        <v>29</v>
      </c>
      <c r="C78" s="8">
        <v>40</v>
      </c>
      <c r="D78" s="8">
        <v>50</v>
      </c>
      <c r="E78" s="8" t="str">
        <f>IFERROR(VLOOKUP(A78,'[1]P O'!$A:$F,6,0),0)</f>
        <v>000000000035087</v>
      </c>
      <c r="F78" s="8">
        <v>50</v>
      </c>
      <c r="G78" s="11">
        <v>80</v>
      </c>
      <c r="H78" s="8">
        <v>45</v>
      </c>
      <c r="I78" s="9">
        <v>30</v>
      </c>
      <c r="J78" s="8" t="s">
        <v>386</v>
      </c>
      <c r="K78" s="8" t="s">
        <v>391</v>
      </c>
    </row>
    <row r="79" spans="1:11" x14ac:dyDescent="0.25">
      <c r="A79" s="5" t="s">
        <v>32</v>
      </c>
      <c r="B79" s="5" t="s">
        <v>33</v>
      </c>
      <c r="C79" s="8">
        <v>3</v>
      </c>
      <c r="D79" s="8">
        <v>6</v>
      </c>
      <c r="E79" s="8">
        <f>IFERROR(VLOOKUP(A79,'[1]P O'!$A:$F,6,0),0)</f>
        <v>0</v>
      </c>
      <c r="F79" s="8">
        <v>6</v>
      </c>
      <c r="G79" s="11">
        <v>9</v>
      </c>
      <c r="H79" s="8">
        <v>6</v>
      </c>
      <c r="I79" s="9">
        <v>3</v>
      </c>
      <c r="J79" s="8" t="s">
        <v>386</v>
      </c>
      <c r="K79" s="8" t="s">
        <v>391</v>
      </c>
    </row>
    <row r="80" spans="1:11" x14ac:dyDescent="0.25">
      <c r="A80" s="5" t="s">
        <v>36</v>
      </c>
      <c r="B80" s="5" t="s">
        <v>37</v>
      </c>
      <c r="C80" s="8">
        <v>1</v>
      </c>
      <c r="D80" s="8">
        <v>1</v>
      </c>
      <c r="E80" s="8" t="str">
        <f>IFERROR(VLOOKUP(A80,'[1]P O'!$A:$F,6,0),0)</f>
        <v>000000000035106</v>
      </c>
      <c r="F80" s="8">
        <v>1</v>
      </c>
      <c r="G80" s="11">
        <v>2</v>
      </c>
      <c r="H80" s="8">
        <v>1</v>
      </c>
      <c r="I80" s="9">
        <v>1</v>
      </c>
      <c r="J80" s="8" t="s">
        <v>386</v>
      </c>
      <c r="K80" s="8" t="s">
        <v>391</v>
      </c>
    </row>
    <row r="81" spans="1:11" x14ac:dyDescent="0.25">
      <c r="A81" s="5" t="s">
        <v>38</v>
      </c>
      <c r="B81" s="5" t="s">
        <v>39</v>
      </c>
      <c r="C81" s="8">
        <v>4</v>
      </c>
      <c r="D81" s="8">
        <v>2</v>
      </c>
      <c r="E81" s="8" t="str">
        <f>IFERROR(VLOOKUP(A81,'[1]P O'!$A:$F,6,0),0)</f>
        <v>000000000035126</v>
      </c>
      <c r="F81" s="8">
        <v>2</v>
      </c>
      <c r="G81" s="11">
        <v>6</v>
      </c>
      <c r="H81" s="8">
        <v>4</v>
      </c>
      <c r="I81" s="9">
        <v>2</v>
      </c>
      <c r="J81" s="8" t="s">
        <v>386</v>
      </c>
      <c r="K81" s="8" t="s">
        <v>395</v>
      </c>
    </row>
    <row r="82" spans="1:11" x14ac:dyDescent="0.25">
      <c r="A82" s="5" t="s">
        <v>40</v>
      </c>
      <c r="B82" s="5" t="s">
        <v>41</v>
      </c>
      <c r="C82" s="8">
        <v>100</v>
      </c>
      <c r="D82" s="8">
        <v>200</v>
      </c>
      <c r="E82" s="8" t="str">
        <f>IFERROR(VLOOKUP(A82,'[1]P O'!$A:$F,6,0),0)</f>
        <v>000000000035028</v>
      </c>
      <c r="F82" s="8">
        <v>200</v>
      </c>
      <c r="G82" s="11">
        <v>300</v>
      </c>
      <c r="H82" s="8">
        <v>100</v>
      </c>
      <c r="I82" s="9">
        <v>100</v>
      </c>
      <c r="J82" s="8" t="s">
        <v>386</v>
      </c>
      <c r="K82" s="8" t="s">
        <v>390</v>
      </c>
    </row>
    <row r="83" spans="1:11" x14ac:dyDescent="0.25">
      <c r="A83" s="5" t="s">
        <v>42</v>
      </c>
      <c r="B83" s="5" t="s">
        <v>43</v>
      </c>
      <c r="C83" s="8">
        <v>17</v>
      </c>
      <c r="D83" s="8">
        <v>8</v>
      </c>
      <c r="E83" s="8" t="str">
        <f>IFERROR(VLOOKUP(A83,'[1]P O'!$A:$F,6,0),0)</f>
        <v>000000000035091</v>
      </c>
      <c r="F83" s="8">
        <v>25</v>
      </c>
      <c r="G83" s="11">
        <v>25</v>
      </c>
      <c r="H83" s="8">
        <v>20</v>
      </c>
      <c r="I83" s="9">
        <v>10</v>
      </c>
      <c r="J83" s="8" t="s">
        <v>386</v>
      </c>
      <c r="K83" s="8" t="s">
        <v>390</v>
      </c>
    </row>
    <row r="84" spans="1:11" x14ac:dyDescent="0.25">
      <c r="A84" s="5" t="s">
        <v>44</v>
      </c>
      <c r="B84" s="5" t="s">
        <v>45</v>
      </c>
      <c r="C84" s="8">
        <v>1</v>
      </c>
      <c r="D84" s="8">
        <v>3</v>
      </c>
      <c r="E84" s="8" t="str">
        <f>IFERROR(VLOOKUP(A84,'[1]P O'!$A:$F,6,0),0)</f>
        <v>000000000034992</v>
      </c>
      <c r="F84" s="8">
        <v>6</v>
      </c>
      <c r="G84" s="11">
        <v>4</v>
      </c>
      <c r="H84" s="8">
        <v>2</v>
      </c>
      <c r="I84" s="9">
        <v>1</v>
      </c>
      <c r="J84" s="8" t="s">
        <v>386</v>
      </c>
      <c r="K84" s="8" t="s">
        <v>392</v>
      </c>
    </row>
    <row r="85" spans="1:11" x14ac:dyDescent="0.25">
      <c r="A85" s="5" t="s">
        <v>46</v>
      </c>
      <c r="B85" s="5" t="s">
        <v>47</v>
      </c>
      <c r="C85" s="8">
        <v>15</v>
      </c>
      <c r="D85" s="8">
        <v>5</v>
      </c>
      <c r="E85" s="8" t="str">
        <f>IFERROR(VLOOKUP(A85,'[1]P O'!$A:$F,6,0),0)</f>
        <v>000000000035039</v>
      </c>
      <c r="F85" s="8">
        <v>5</v>
      </c>
      <c r="G85" s="11">
        <v>20</v>
      </c>
      <c r="H85" s="8">
        <v>15</v>
      </c>
      <c r="I85" s="9">
        <v>5</v>
      </c>
      <c r="J85" s="8" t="s">
        <v>386</v>
      </c>
      <c r="K85" s="8" t="s">
        <v>390</v>
      </c>
    </row>
    <row r="86" spans="1:11" x14ac:dyDescent="0.25">
      <c r="A86" s="5" t="s">
        <v>50</v>
      </c>
      <c r="B86" s="5" t="s">
        <v>51</v>
      </c>
      <c r="C86" s="8">
        <v>5</v>
      </c>
      <c r="D86" s="8">
        <v>20</v>
      </c>
      <c r="E86" s="8" t="str">
        <f>IFERROR(VLOOKUP(A86,'[1]P O'!$A:$F,6,0),0)</f>
        <v>000000000035039</v>
      </c>
      <c r="F86" s="8">
        <v>25</v>
      </c>
      <c r="G86" s="11">
        <v>25</v>
      </c>
      <c r="H86" s="8">
        <v>20</v>
      </c>
      <c r="I86" s="9">
        <v>5</v>
      </c>
      <c r="J86" s="8" t="s">
        <v>386</v>
      </c>
      <c r="K86" s="8" t="s">
        <v>390</v>
      </c>
    </row>
    <row r="87" spans="1:11" x14ac:dyDescent="0.25">
      <c r="A87" s="5" t="s">
        <v>58</v>
      </c>
      <c r="B87" s="5" t="s">
        <v>59</v>
      </c>
      <c r="C87" s="8">
        <v>2</v>
      </c>
      <c r="D87" s="8">
        <v>1</v>
      </c>
      <c r="E87" s="8" t="str">
        <f>IFERROR(VLOOKUP(A87,'[1]P O'!$A:$F,6,0),0)</f>
        <v>000000000034975</v>
      </c>
      <c r="F87" s="8">
        <v>1</v>
      </c>
      <c r="G87" s="11">
        <v>6</v>
      </c>
      <c r="H87" s="8">
        <v>2</v>
      </c>
      <c r="I87" s="9">
        <v>2</v>
      </c>
      <c r="J87" s="8" t="s">
        <v>386</v>
      </c>
      <c r="K87" s="8" t="s">
        <v>392</v>
      </c>
    </row>
    <row r="88" spans="1:11" x14ac:dyDescent="0.25">
      <c r="A88" s="5" t="s">
        <v>60</v>
      </c>
      <c r="B88" s="5" t="s">
        <v>61</v>
      </c>
      <c r="C88" s="8">
        <v>2</v>
      </c>
      <c r="D88" s="8">
        <v>2</v>
      </c>
      <c r="E88" s="8" t="str">
        <f>IFERROR(VLOOKUP(A88,'[1]P O'!$A:$F,6,0),0)</f>
        <v>000000000033976</v>
      </c>
      <c r="F88" s="8">
        <v>2</v>
      </c>
      <c r="G88" s="11">
        <v>4</v>
      </c>
      <c r="H88" s="8">
        <v>2</v>
      </c>
      <c r="I88" s="9">
        <v>2</v>
      </c>
      <c r="J88" s="8" t="s">
        <v>386</v>
      </c>
      <c r="K88" s="8" t="s">
        <v>392</v>
      </c>
    </row>
    <row r="89" spans="1:11" x14ac:dyDescent="0.25">
      <c r="A89" s="5" t="s">
        <v>64</v>
      </c>
      <c r="B89" s="5" t="s">
        <v>65</v>
      </c>
      <c r="C89" s="8">
        <v>5</v>
      </c>
      <c r="D89" s="8">
        <v>10</v>
      </c>
      <c r="E89" s="8" t="str">
        <f>IFERROR(VLOOKUP(A89,'[1]P O'!$A:$F,6,0),0)</f>
        <v>000000000035099</v>
      </c>
      <c r="F89" s="8">
        <v>15</v>
      </c>
      <c r="G89" s="11">
        <v>15</v>
      </c>
      <c r="H89" s="8">
        <v>10</v>
      </c>
      <c r="I89" s="9">
        <v>5</v>
      </c>
      <c r="J89" s="8" t="s">
        <v>386</v>
      </c>
      <c r="K89" s="8" t="s">
        <v>390</v>
      </c>
    </row>
    <row r="90" spans="1:11" x14ac:dyDescent="0.25">
      <c r="A90" s="5" t="s">
        <v>70</v>
      </c>
      <c r="B90" s="5" t="s">
        <v>71</v>
      </c>
      <c r="C90" s="8">
        <v>7</v>
      </c>
      <c r="D90" s="8">
        <v>13</v>
      </c>
      <c r="E90" s="8" t="str">
        <f>IFERROR(VLOOKUP(A90,'[1]P O'!$A:$F,6,0),0)</f>
        <v>000000000035106</v>
      </c>
      <c r="F90" s="8">
        <v>13</v>
      </c>
      <c r="G90" s="11">
        <v>20</v>
      </c>
      <c r="H90" s="8">
        <v>10</v>
      </c>
      <c r="I90" s="9">
        <v>5</v>
      </c>
      <c r="J90" s="8" t="s">
        <v>386</v>
      </c>
      <c r="K90" s="8" t="s">
        <v>393</v>
      </c>
    </row>
    <row r="91" spans="1:11" x14ac:dyDescent="0.25">
      <c r="A91" s="5" t="s">
        <v>76</v>
      </c>
      <c r="B91" s="5" t="s">
        <v>77</v>
      </c>
      <c r="C91" s="8">
        <v>10</v>
      </c>
      <c r="D91" s="8">
        <v>10</v>
      </c>
      <c r="E91" s="8" t="str">
        <f>IFERROR(VLOOKUP(A91,'[1]P O'!$A:$F,6,0),0)</f>
        <v>000000000035105</v>
      </c>
      <c r="F91" s="8">
        <v>10</v>
      </c>
      <c r="G91" s="11">
        <v>20</v>
      </c>
      <c r="H91" s="8">
        <v>10</v>
      </c>
      <c r="I91" s="9">
        <v>8</v>
      </c>
      <c r="J91" s="8" t="s">
        <v>386</v>
      </c>
      <c r="K91" s="8" t="s">
        <v>393</v>
      </c>
    </row>
    <row r="92" spans="1:11" x14ac:dyDescent="0.25">
      <c r="A92" s="5" t="s">
        <v>78</v>
      </c>
      <c r="B92" s="5" t="s">
        <v>79</v>
      </c>
      <c r="C92" s="8">
        <v>7</v>
      </c>
      <c r="D92" s="8">
        <v>5</v>
      </c>
      <c r="E92" s="8" t="str">
        <f>IFERROR(VLOOKUP(A92,'[1]P O'!$A:$F,6,0),0)</f>
        <v>000000000035106</v>
      </c>
      <c r="F92" s="8">
        <v>5</v>
      </c>
      <c r="G92" s="11">
        <v>12</v>
      </c>
      <c r="H92" s="8">
        <v>8</v>
      </c>
      <c r="I92" s="9">
        <v>4</v>
      </c>
      <c r="J92" s="8" t="s">
        <v>386</v>
      </c>
      <c r="K92" s="8" t="s">
        <v>393</v>
      </c>
    </row>
    <row r="93" spans="1:11" x14ac:dyDescent="0.25">
      <c r="A93" s="5" t="s">
        <v>84</v>
      </c>
      <c r="B93" s="5" t="s">
        <v>85</v>
      </c>
      <c r="C93" s="8">
        <v>5</v>
      </c>
      <c r="D93" s="8">
        <v>10</v>
      </c>
      <c r="E93" s="8" t="str">
        <f>IFERROR(VLOOKUP(A93,'[1]P O'!$A:$F,6,0),0)</f>
        <v>000000000034951</v>
      </c>
      <c r="F93" s="8">
        <v>15</v>
      </c>
      <c r="G93" s="11">
        <v>15</v>
      </c>
      <c r="H93" s="8">
        <v>10</v>
      </c>
      <c r="I93" s="9">
        <v>5</v>
      </c>
      <c r="J93" s="8" t="s">
        <v>386</v>
      </c>
      <c r="K93" s="8" t="s">
        <v>390</v>
      </c>
    </row>
    <row r="94" spans="1:11" x14ac:dyDescent="0.25">
      <c r="A94" s="5" t="s">
        <v>90</v>
      </c>
      <c r="B94" s="5" t="s">
        <v>91</v>
      </c>
      <c r="C94" s="8">
        <v>114</v>
      </c>
      <c r="D94" s="8">
        <v>100</v>
      </c>
      <c r="E94" s="8" t="str">
        <f>IFERROR(VLOOKUP(A94,'[1]P O'!$A:$F,6,0),0)</f>
        <v>000000000034842</v>
      </c>
      <c r="F94" s="8">
        <v>200</v>
      </c>
      <c r="G94" s="11">
        <v>200</v>
      </c>
      <c r="H94" s="8">
        <v>150</v>
      </c>
      <c r="I94" s="9">
        <v>100</v>
      </c>
      <c r="J94" s="8" t="s">
        <v>386</v>
      </c>
      <c r="K94" s="8" t="s">
        <v>396</v>
      </c>
    </row>
    <row r="95" spans="1:11" x14ac:dyDescent="0.25">
      <c r="A95" s="5" t="s">
        <v>96</v>
      </c>
      <c r="B95" s="5" t="s">
        <v>97</v>
      </c>
      <c r="C95" s="8">
        <v>189</v>
      </c>
      <c r="D95" s="8">
        <v>311</v>
      </c>
      <c r="E95" s="8" t="str">
        <f>IFERROR(VLOOKUP(A95,'[1]P O'!$A:$F,6,0),0)</f>
        <v>000000000035110</v>
      </c>
      <c r="F95" s="8">
        <v>500</v>
      </c>
      <c r="G95" s="11">
        <v>500</v>
      </c>
      <c r="H95" s="8">
        <v>300</v>
      </c>
      <c r="I95" s="9">
        <v>200</v>
      </c>
      <c r="J95" s="8" t="s">
        <v>386</v>
      </c>
      <c r="K95" s="8" t="s">
        <v>396</v>
      </c>
    </row>
    <row r="96" spans="1:11" x14ac:dyDescent="0.25">
      <c r="A96" s="5" t="s">
        <v>102</v>
      </c>
      <c r="B96" s="5" t="s">
        <v>103</v>
      </c>
      <c r="C96" s="8">
        <v>2</v>
      </c>
      <c r="D96" s="8">
        <v>2</v>
      </c>
      <c r="E96" s="8" t="str">
        <f>IFERROR(VLOOKUP(A96,'[1]P O'!$A:$F,6,0),0)</f>
        <v>000000000035126</v>
      </c>
      <c r="F96" s="8">
        <v>2</v>
      </c>
      <c r="G96" s="11">
        <v>4</v>
      </c>
      <c r="H96" s="8">
        <v>3</v>
      </c>
      <c r="I96" s="9">
        <v>2</v>
      </c>
      <c r="J96" s="8" t="s">
        <v>386</v>
      </c>
      <c r="K96" s="8" t="s">
        <v>391</v>
      </c>
    </row>
    <row r="97" spans="1:11" x14ac:dyDescent="0.25">
      <c r="A97" s="5" t="s">
        <v>104</v>
      </c>
      <c r="B97" s="5" t="s">
        <v>105</v>
      </c>
      <c r="C97" s="8">
        <v>4000</v>
      </c>
      <c r="D97" s="8">
        <v>4000</v>
      </c>
      <c r="E97" s="8" t="str">
        <f>IFERROR(VLOOKUP(A97,'[1]P O'!$A:$F,6,0),0)</f>
        <v>000000000035006</v>
      </c>
      <c r="F97" s="8">
        <v>10000</v>
      </c>
      <c r="G97" s="11">
        <v>8000</v>
      </c>
      <c r="H97" s="8">
        <v>6000</v>
      </c>
      <c r="I97" s="9">
        <v>4000</v>
      </c>
      <c r="J97" s="8" t="s">
        <v>386</v>
      </c>
      <c r="K97" s="8" t="s">
        <v>397</v>
      </c>
    </row>
    <row r="98" spans="1:11" x14ac:dyDescent="0.25">
      <c r="A98" s="5" t="s">
        <v>106</v>
      </c>
      <c r="B98" s="5" t="s">
        <v>107</v>
      </c>
      <c r="C98" s="8">
        <v>0</v>
      </c>
      <c r="D98" s="8">
        <v>100</v>
      </c>
      <c r="E98" s="8" t="str">
        <f>IFERROR(VLOOKUP(A98,'[1]P O'!$A:$F,6,0),0)</f>
        <v>000000000035076</v>
      </c>
      <c r="F98" s="8">
        <v>200</v>
      </c>
      <c r="G98" s="11">
        <v>100</v>
      </c>
      <c r="H98" s="8">
        <v>75</v>
      </c>
      <c r="I98" s="9">
        <v>50</v>
      </c>
      <c r="J98" s="8" t="s">
        <v>386</v>
      </c>
      <c r="K98" s="8" t="s">
        <v>391</v>
      </c>
    </row>
    <row r="99" spans="1:11" x14ac:dyDescent="0.25">
      <c r="A99" s="5" t="s">
        <v>108</v>
      </c>
      <c r="B99" s="5" t="s">
        <v>109</v>
      </c>
      <c r="C99" s="8">
        <v>3</v>
      </c>
      <c r="D99" s="8">
        <v>1</v>
      </c>
      <c r="E99" s="8">
        <f>IFERROR(VLOOKUP(A99,'[1]P O'!$A:$F,6,0),0)</f>
        <v>0</v>
      </c>
      <c r="F99" s="8">
        <v>1</v>
      </c>
      <c r="G99" s="11">
        <v>4</v>
      </c>
      <c r="H99" s="8">
        <v>3</v>
      </c>
      <c r="I99" s="9">
        <v>2</v>
      </c>
      <c r="J99" s="8" t="s">
        <v>386</v>
      </c>
      <c r="K99" s="8" t="s">
        <v>391</v>
      </c>
    </row>
    <row r="100" spans="1:11" x14ac:dyDescent="0.25">
      <c r="A100" s="5" t="s">
        <v>110</v>
      </c>
      <c r="B100" s="5" t="s">
        <v>111</v>
      </c>
      <c r="C100" s="8">
        <v>3</v>
      </c>
      <c r="D100" s="8">
        <v>3</v>
      </c>
      <c r="E100" s="8">
        <f>IFERROR(VLOOKUP(A100,'[1]P O'!$A:$F,6,0),0)</f>
        <v>0</v>
      </c>
      <c r="F100" s="8">
        <v>4</v>
      </c>
      <c r="G100" s="11">
        <v>6</v>
      </c>
      <c r="H100" s="8">
        <v>4</v>
      </c>
      <c r="I100" s="9">
        <v>2</v>
      </c>
      <c r="J100" s="8" t="s">
        <v>386</v>
      </c>
      <c r="K100" s="8" t="s">
        <v>391</v>
      </c>
    </row>
    <row r="101" spans="1:11" x14ac:dyDescent="0.25">
      <c r="A101" s="5" t="s">
        <v>112</v>
      </c>
      <c r="B101" s="5" t="s">
        <v>113</v>
      </c>
      <c r="C101" s="8">
        <v>3</v>
      </c>
      <c r="D101" s="8">
        <v>1</v>
      </c>
      <c r="E101" s="8">
        <f>IFERROR(VLOOKUP(A101,'[1]P O'!$A:$F,6,0),0)</f>
        <v>0</v>
      </c>
      <c r="F101" s="8">
        <v>1</v>
      </c>
      <c r="G101" s="11">
        <v>4</v>
      </c>
      <c r="H101" s="8">
        <v>3</v>
      </c>
      <c r="I101" s="9">
        <v>2</v>
      </c>
      <c r="J101" s="8" t="s">
        <v>386</v>
      </c>
      <c r="K101" s="8" t="s">
        <v>391</v>
      </c>
    </row>
    <row r="102" spans="1:11" x14ac:dyDescent="0.25">
      <c r="A102" s="5" t="s">
        <v>118</v>
      </c>
      <c r="B102" s="5" t="s">
        <v>119</v>
      </c>
      <c r="C102" s="8">
        <v>4</v>
      </c>
      <c r="D102" s="8">
        <v>2</v>
      </c>
      <c r="E102" s="8" t="str">
        <f>IFERROR(VLOOKUP(A102,'[1]P O'!$A:$F,6,0),0)</f>
        <v>000000000035069</v>
      </c>
      <c r="F102" s="8">
        <v>2</v>
      </c>
      <c r="G102" s="11">
        <v>6</v>
      </c>
      <c r="H102" s="8">
        <v>4</v>
      </c>
      <c r="I102" s="9">
        <v>2</v>
      </c>
      <c r="J102" s="8" t="s">
        <v>386</v>
      </c>
      <c r="K102" s="8" t="s">
        <v>391</v>
      </c>
    </row>
    <row r="103" spans="1:11" x14ac:dyDescent="0.25">
      <c r="A103" s="5" t="s">
        <v>122</v>
      </c>
      <c r="B103" s="5" t="s">
        <v>123</v>
      </c>
      <c r="C103" s="8">
        <v>4</v>
      </c>
      <c r="D103" s="8">
        <v>1</v>
      </c>
      <c r="E103" s="8" t="str">
        <f>IFERROR(VLOOKUP(A103,'[1]P O'!$A:$F,6,0),0)</f>
        <v>000000000034973</v>
      </c>
      <c r="F103" s="8">
        <v>1</v>
      </c>
      <c r="G103" s="11">
        <v>8</v>
      </c>
      <c r="H103" s="8">
        <v>4</v>
      </c>
      <c r="I103" s="9">
        <v>4</v>
      </c>
      <c r="J103" s="8" t="s">
        <v>386</v>
      </c>
      <c r="K103" s="8" t="s">
        <v>392</v>
      </c>
    </row>
    <row r="104" spans="1:11" x14ac:dyDescent="0.25">
      <c r="A104" s="5" t="s">
        <v>124</v>
      </c>
      <c r="B104" s="5" t="s">
        <v>125</v>
      </c>
      <c r="C104" s="8">
        <v>6</v>
      </c>
      <c r="D104" s="8">
        <v>3</v>
      </c>
      <c r="E104" s="8" t="str">
        <f>IFERROR(VLOOKUP(A104,'[1]P O'!$A:$F,6,0),0)</f>
        <v>000000000033976</v>
      </c>
      <c r="F104" s="8">
        <v>3</v>
      </c>
      <c r="G104" s="11">
        <v>10</v>
      </c>
      <c r="H104" s="8">
        <v>6</v>
      </c>
      <c r="I104" s="9">
        <v>6</v>
      </c>
      <c r="J104" s="8" t="s">
        <v>386</v>
      </c>
      <c r="K104" s="8" t="s">
        <v>392</v>
      </c>
    </row>
    <row r="105" spans="1:11" x14ac:dyDescent="0.25">
      <c r="A105" s="5" t="s">
        <v>126</v>
      </c>
      <c r="B105" s="5" t="s">
        <v>127</v>
      </c>
      <c r="C105" s="8">
        <v>2</v>
      </c>
      <c r="D105" s="8">
        <v>1</v>
      </c>
      <c r="E105" s="8" t="str">
        <f>IFERROR(VLOOKUP(A105,'[1]P O'!$A:$F,6,0),0)</f>
        <v>000000000034754</v>
      </c>
      <c r="F105" s="8">
        <v>1</v>
      </c>
      <c r="G105" s="11">
        <v>3</v>
      </c>
      <c r="H105" s="8">
        <v>2</v>
      </c>
      <c r="I105" s="9">
        <v>1</v>
      </c>
      <c r="J105" s="8" t="s">
        <v>386</v>
      </c>
      <c r="K105" s="8" t="s">
        <v>391</v>
      </c>
    </row>
    <row r="106" spans="1:11" x14ac:dyDescent="0.25">
      <c r="A106" s="5" t="s">
        <v>134</v>
      </c>
      <c r="B106" s="5" t="s">
        <v>135</v>
      </c>
      <c r="C106" s="8">
        <v>2</v>
      </c>
      <c r="D106" s="8">
        <v>2</v>
      </c>
      <c r="E106" s="8" t="str">
        <f>IFERROR(VLOOKUP(A106,'[1]P O'!$A:$F,6,0),0)</f>
        <v>000000000034291</v>
      </c>
      <c r="F106" s="8">
        <v>2</v>
      </c>
      <c r="G106" s="11">
        <v>4</v>
      </c>
      <c r="H106" s="8">
        <v>2</v>
      </c>
      <c r="I106" s="9">
        <v>2</v>
      </c>
      <c r="J106" s="8" t="s">
        <v>386</v>
      </c>
      <c r="K106" s="8" t="s">
        <v>392</v>
      </c>
    </row>
    <row r="107" spans="1:11" x14ac:dyDescent="0.25">
      <c r="A107" s="5" t="s">
        <v>136</v>
      </c>
      <c r="B107" s="5" t="s">
        <v>137</v>
      </c>
      <c r="C107" s="8">
        <v>1</v>
      </c>
      <c r="D107" s="8">
        <v>1</v>
      </c>
      <c r="E107" s="8" t="str">
        <f>IFERROR(VLOOKUP(A107,'[1]P O'!$A:$F,6,0),0)</f>
        <v>000000000034806</v>
      </c>
      <c r="F107" s="8">
        <v>1</v>
      </c>
      <c r="G107" s="11">
        <v>2</v>
      </c>
      <c r="H107" s="8">
        <v>1</v>
      </c>
      <c r="I107" s="9">
        <v>1</v>
      </c>
      <c r="J107" s="8" t="s">
        <v>386</v>
      </c>
      <c r="K107" s="8" t="s">
        <v>392</v>
      </c>
    </row>
    <row r="108" spans="1:11" x14ac:dyDescent="0.25">
      <c r="A108" s="5" t="s">
        <v>138</v>
      </c>
      <c r="B108" s="5" t="s">
        <v>139</v>
      </c>
      <c r="C108" s="8">
        <v>1</v>
      </c>
      <c r="D108" s="8">
        <v>1</v>
      </c>
      <c r="E108" s="8" t="str">
        <f>IFERROR(VLOOKUP(A108,'[1]P O'!$A:$F,6,0),0)</f>
        <v>000000000035106</v>
      </c>
      <c r="F108" s="8">
        <v>1</v>
      </c>
      <c r="G108" s="11">
        <v>2</v>
      </c>
      <c r="H108" s="8">
        <v>1</v>
      </c>
      <c r="I108" s="9">
        <v>0</v>
      </c>
      <c r="J108" s="8" t="s">
        <v>386</v>
      </c>
      <c r="K108" s="8" t="s">
        <v>393</v>
      </c>
    </row>
    <row r="109" spans="1:11" x14ac:dyDescent="0.25">
      <c r="A109" s="5" t="s">
        <v>140</v>
      </c>
      <c r="B109" s="5" t="s">
        <v>141</v>
      </c>
      <c r="C109" s="8">
        <v>1</v>
      </c>
      <c r="D109" s="8">
        <v>1</v>
      </c>
      <c r="E109" s="8" t="str">
        <f>IFERROR(VLOOKUP(A109,'[1]P O'!$A:$F,6,0),0)</f>
        <v>000000000034994</v>
      </c>
      <c r="F109" s="8">
        <v>1</v>
      </c>
      <c r="G109" s="11">
        <v>2</v>
      </c>
      <c r="H109" s="8">
        <v>1</v>
      </c>
      <c r="I109" s="9">
        <v>1</v>
      </c>
      <c r="J109" s="8" t="s">
        <v>386</v>
      </c>
      <c r="K109" s="8" t="s">
        <v>392</v>
      </c>
    </row>
    <row r="110" spans="1:11" x14ac:dyDescent="0.25">
      <c r="A110" s="5" t="s">
        <v>144</v>
      </c>
      <c r="B110" s="5" t="s">
        <v>145</v>
      </c>
      <c r="C110" s="8">
        <v>1</v>
      </c>
      <c r="D110" s="8">
        <v>1</v>
      </c>
      <c r="E110" s="8" t="str">
        <f>IFERROR(VLOOKUP(A110,'[1]P O'!$A:$F,6,0),0)</f>
        <v>000000000035017</v>
      </c>
      <c r="F110" s="8">
        <v>1</v>
      </c>
      <c r="G110" s="11">
        <v>2</v>
      </c>
      <c r="H110" s="8">
        <v>1</v>
      </c>
      <c r="I110" s="9">
        <v>1</v>
      </c>
      <c r="J110" s="8" t="s">
        <v>386</v>
      </c>
      <c r="K110" s="8" t="s">
        <v>392</v>
      </c>
    </row>
    <row r="111" spans="1:11" x14ac:dyDescent="0.25">
      <c r="A111" s="5" t="s">
        <v>148</v>
      </c>
      <c r="B111" s="5" t="s">
        <v>149</v>
      </c>
      <c r="C111" s="8">
        <v>3</v>
      </c>
      <c r="D111" s="8">
        <v>2</v>
      </c>
      <c r="E111" s="8" t="str">
        <f>IFERROR(VLOOKUP(A111,'[1]P O'!$A:$F,6,0),0)</f>
        <v>000000000035131</v>
      </c>
      <c r="F111" s="8">
        <v>2</v>
      </c>
      <c r="G111" s="11">
        <v>5</v>
      </c>
      <c r="H111" s="8">
        <v>3</v>
      </c>
      <c r="I111" s="9">
        <v>2</v>
      </c>
      <c r="J111" s="8" t="s">
        <v>386</v>
      </c>
      <c r="K111" s="8" t="s">
        <v>396</v>
      </c>
    </row>
    <row r="112" spans="1:11" x14ac:dyDescent="0.25">
      <c r="A112" s="5" t="s">
        <v>150</v>
      </c>
      <c r="B112" s="5" t="s">
        <v>151</v>
      </c>
      <c r="C112" s="8">
        <v>2</v>
      </c>
      <c r="D112" s="8">
        <v>1</v>
      </c>
      <c r="E112" s="8" t="str">
        <f>IFERROR(VLOOKUP(A112,'[1]P O'!$A:$F,6,0),0)</f>
        <v>000000000034987</v>
      </c>
      <c r="F112" s="8">
        <v>1</v>
      </c>
      <c r="G112" s="11">
        <v>4</v>
      </c>
      <c r="H112" s="8">
        <v>2</v>
      </c>
      <c r="I112" s="9">
        <v>2</v>
      </c>
      <c r="J112" s="8" t="s">
        <v>386</v>
      </c>
      <c r="K112" s="8" t="s">
        <v>392</v>
      </c>
    </row>
    <row r="113" spans="1:11" x14ac:dyDescent="0.25">
      <c r="A113" s="5" t="s">
        <v>154</v>
      </c>
      <c r="B113" s="5" t="s">
        <v>155</v>
      </c>
      <c r="C113" s="8">
        <v>1</v>
      </c>
      <c r="D113" s="8">
        <v>1</v>
      </c>
      <c r="E113" s="8" t="str">
        <f>IFERROR(VLOOKUP(A113,'[1]P O'!$A:$F,6,0),0)</f>
        <v>000000000035021</v>
      </c>
      <c r="F113" s="8">
        <v>2</v>
      </c>
      <c r="G113" s="11">
        <v>2</v>
      </c>
      <c r="H113" s="8">
        <v>1</v>
      </c>
      <c r="I113" s="9">
        <v>1</v>
      </c>
      <c r="J113" s="8" t="s">
        <v>386</v>
      </c>
      <c r="K113" s="8" t="s">
        <v>392</v>
      </c>
    </row>
    <row r="114" spans="1:11" x14ac:dyDescent="0.25">
      <c r="A114" s="5" t="s">
        <v>156</v>
      </c>
      <c r="B114" s="5" t="s">
        <v>157</v>
      </c>
      <c r="C114" s="8">
        <v>5</v>
      </c>
      <c r="D114" s="8">
        <v>10</v>
      </c>
      <c r="E114" s="8" t="str">
        <f>IFERROR(VLOOKUP(A114,'[1]P O'!$A:$F,6,0),0)</f>
        <v>000000000035099</v>
      </c>
      <c r="F114" s="8">
        <v>15</v>
      </c>
      <c r="G114" s="11">
        <v>15</v>
      </c>
      <c r="H114" s="8">
        <v>10</v>
      </c>
      <c r="I114" s="9">
        <v>5</v>
      </c>
      <c r="J114" s="8" t="s">
        <v>386</v>
      </c>
      <c r="K114" s="8" t="s">
        <v>390</v>
      </c>
    </row>
    <row r="115" spans="1:11" x14ac:dyDescent="0.25">
      <c r="A115" s="5" t="s">
        <v>164</v>
      </c>
      <c r="B115" s="5" t="s">
        <v>165</v>
      </c>
      <c r="C115" s="8">
        <v>2</v>
      </c>
      <c r="D115" s="8">
        <v>1</v>
      </c>
      <c r="E115" s="8">
        <f>IFERROR(VLOOKUP(A115,'[1]P O'!$A:$F,6,0),0)</f>
        <v>0</v>
      </c>
      <c r="F115" s="8">
        <v>3</v>
      </c>
      <c r="G115" s="11">
        <v>3</v>
      </c>
      <c r="H115" s="8">
        <v>2</v>
      </c>
      <c r="I115" s="9">
        <v>1</v>
      </c>
      <c r="J115" s="8" t="s">
        <v>386</v>
      </c>
      <c r="K115" s="8" t="s">
        <v>391</v>
      </c>
    </row>
    <row r="116" spans="1:11" x14ac:dyDescent="0.25">
      <c r="A116" s="5" t="s">
        <v>166</v>
      </c>
      <c r="B116" s="5" t="s">
        <v>167</v>
      </c>
      <c r="C116" s="8">
        <v>1</v>
      </c>
      <c r="D116" s="8">
        <v>1</v>
      </c>
      <c r="E116" s="8" t="str">
        <f>IFERROR(VLOOKUP(A116,'[1]P O'!$A:$F,6,0),0)</f>
        <v>000000000035061</v>
      </c>
      <c r="F116" s="8">
        <v>1</v>
      </c>
      <c r="G116" s="11">
        <v>2</v>
      </c>
      <c r="H116" s="8">
        <v>1</v>
      </c>
      <c r="I116" s="9">
        <v>1</v>
      </c>
      <c r="J116" s="8" t="s">
        <v>386</v>
      </c>
      <c r="K116" s="8" t="s">
        <v>391</v>
      </c>
    </row>
    <row r="117" spans="1:11" x14ac:dyDescent="0.25">
      <c r="A117" s="5" t="s">
        <v>168</v>
      </c>
      <c r="B117" s="5" t="s">
        <v>169</v>
      </c>
      <c r="C117" s="8">
        <v>2</v>
      </c>
      <c r="D117" s="8">
        <v>2</v>
      </c>
      <c r="E117" s="8" t="str">
        <f>IFERROR(VLOOKUP(A117,'[1]P O'!$A:$F,6,0),0)</f>
        <v>000000000034293</v>
      </c>
      <c r="F117" s="8">
        <v>2</v>
      </c>
      <c r="G117" s="11">
        <v>4</v>
      </c>
      <c r="H117" s="8">
        <v>2</v>
      </c>
      <c r="I117" s="9">
        <v>2</v>
      </c>
      <c r="J117" s="8" t="s">
        <v>386</v>
      </c>
      <c r="K117" s="8" t="s">
        <v>392</v>
      </c>
    </row>
    <row r="118" spans="1:11" x14ac:dyDescent="0.25">
      <c r="A118" s="5" t="s">
        <v>172</v>
      </c>
      <c r="B118" s="5" t="s">
        <v>173</v>
      </c>
      <c r="C118" s="8">
        <v>1</v>
      </c>
      <c r="D118" s="8">
        <v>1</v>
      </c>
      <c r="E118" s="8" t="str">
        <f>IFERROR(VLOOKUP(A118,'[1]P O'!$A:$F,6,0),0)</f>
        <v>000000000034292</v>
      </c>
      <c r="F118" s="8">
        <v>1</v>
      </c>
      <c r="G118" s="11">
        <v>2</v>
      </c>
      <c r="H118" s="8">
        <v>1</v>
      </c>
      <c r="I118" s="9">
        <v>1</v>
      </c>
      <c r="J118" s="8" t="s">
        <v>386</v>
      </c>
      <c r="K118" s="8" t="s">
        <v>392</v>
      </c>
    </row>
    <row r="119" spans="1:11" x14ac:dyDescent="0.25">
      <c r="A119" s="5" t="s">
        <v>176</v>
      </c>
      <c r="B119" s="5" t="s">
        <v>177</v>
      </c>
      <c r="C119" s="8">
        <v>212</v>
      </c>
      <c r="D119" s="8">
        <v>212</v>
      </c>
      <c r="E119" s="8" t="str">
        <f>IFERROR(VLOOKUP(A119,'[1]P O'!$A:$F,6,0),0)</f>
        <v>000000000033834</v>
      </c>
      <c r="F119" s="8">
        <v>212</v>
      </c>
      <c r="G119" s="11">
        <v>424</v>
      </c>
      <c r="H119" s="8">
        <v>212</v>
      </c>
      <c r="I119" s="9">
        <v>212</v>
      </c>
      <c r="J119" s="8" t="s">
        <v>386</v>
      </c>
      <c r="K119" s="8" t="s">
        <v>392</v>
      </c>
    </row>
    <row r="120" spans="1:11" x14ac:dyDescent="0.25">
      <c r="A120" s="5" t="s">
        <v>178</v>
      </c>
      <c r="B120" s="5" t="s">
        <v>179</v>
      </c>
      <c r="C120" s="8">
        <v>18</v>
      </c>
      <c r="D120" s="8">
        <v>32</v>
      </c>
      <c r="E120" s="8" t="str">
        <f>IFERROR(VLOOKUP(A120,'[1]P O'!$A:$F,6,0),0)</f>
        <v>000000000035100</v>
      </c>
      <c r="F120" s="8">
        <v>50</v>
      </c>
      <c r="G120" s="11">
        <v>50</v>
      </c>
      <c r="H120" s="8">
        <v>20</v>
      </c>
      <c r="I120" s="9">
        <v>10</v>
      </c>
      <c r="J120" s="8" t="s">
        <v>386</v>
      </c>
      <c r="K120" s="8" t="s">
        <v>393</v>
      </c>
    </row>
    <row r="121" spans="1:11" x14ac:dyDescent="0.25">
      <c r="A121" s="5" t="s">
        <v>188</v>
      </c>
      <c r="B121" s="5" t="s">
        <v>189</v>
      </c>
      <c r="C121" s="8">
        <v>4</v>
      </c>
      <c r="D121" s="8">
        <v>2</v>
      </c>
      <c r="E121" s="8" t="str">
        <f>IFERROR(VLOOKUP(A121,'[1]P O'!$A:$F,6,0),0)</f>
        <v>000000000035014</v>
      </c>
      <c r="F121" s="8">
        <v>2</v>
      </c>
      <c r="G121" s="11">
        <v>6</v>
      </c>
      <c r="H121" s="8">
        <v>4</v>
      </c>
      <c r="I121" s="9">
        <v>4</v>
      </c>
      <c r="J121" s="8" t="s">
        <v>386</v>
      </c>
      <c r="K121" s="8" t="s">
        <v>392</v>
      </c>
    </row>
    <row r="122" spans="1:11" x14ac:dyDescent="0.25">
      <c r="A122" s="5" t="s">
        <v>204</v>
      </c>
      <c r="B122" s="5" t="s">
        <v>205</v>
      </c>
      <c r="C122" s="8">
        <v>1</v>
      </c>
      <c r="D122" s="8">
        <v>1</v>
      </c>
      <c r="E122" s="8" t="str">
        <f>IFERROR(VLOOKUP(A122,'[1]P O'!$A:$F,6,0),0)</f>
        <v>000000000035106</v>
      </c>
      <c r="F122" s="8">
        <v>1</v>
      </c>
      <c r="G122" s="11">
        <v>2</v>
      </c>
      <c r="H122" s="8">
        <v>1</v>
      </c>
      <c r="I122" s="9">
        <v>1</v>
      </c>
      <c r="J122" s="8" t="s">
        <v>386</v>
      </c>
      <c r="K122" s="8" t="s">
        <v>391</v>
      </c>
    </row>
    <row r="123" spans="1:11" x14ac:dyDescent="0.25">
      <c r="A123" s="5" t="s">
        <v>210</v>
      </c>
      <c r="B123" s="5" t="s">
        <v>211</v>
      </c>
      <c r="C123" s="8">
        <v>1</v>
      </c>
      <c r="D123" s="8">
        <v>2</v>
      </c>
      <c r="E123" s="8" t="str">
        <f>IFERROR(VLOOKUP(A123,'[1]P O'!$A:$F,6,0),0)</f>
        <v>000000000035126</v>
      </c>
      <c r="F123" s="8">
        <v>2</v>
      </c>
      <c r="G123" s="11">
        <v>3</v>
      </c>
      <c r="H123" s="8">
        <v>2</v>
      </c>
      <c r="I123" s="9">
        <v>1</v>
      </c>
      <c r="J123" s="8" t="s">
        <v>386</v>
      </c>
      <c r="K123" s="8" t="s">
        <v>391</v>
      </c>
    </row>
    <row r="124" spans="1:11" x14ac:dyDescent="0.25">
      <c r="A124" s="5" t="s">
        <v>216</v>
      </c>
      <c r="B124" s="5" t="s">
        <v>217</v>
      </c>
      <c r="C124" s="8">
        <v>3</v>
      </c>
      <c r="D124" s="8">
        <v>2</v>
      </c>
      <c r="E124" s="8" t="str">
        <f>IFERROR(VLOOKUP(A124,'[1]P O'!$A:$F,6,0),0)</f>
        <v>000000000035068</v>
      </c>
      <c r="F124" s="8">
        <v>2</v>
      </c>
      <c r="G124" s="11">
        <v>6</v>
      </c>
      <c r="H124" s="8">
        <v>4</v>
      </c>
      <c r="I124" s="9">
        <v>2</v>
      </c>
      <c r="J124" s="8" t="s">
        <v>386</v>
      </c>
      <c r="K124" s="8" t="s">
        <v>390</v>
      </c>
    </row>
    <row r="125" spans="1:11" x14ac:dyDescent="0.25">
      <c r="A125" s="5" t="s">
        <v>220</v>
      </c>
      <c r="B125" s="5" t="s">
        <v>221</v>
      </c>
      <c r="C125" s="8">
        <v>1</v>
      </c>
      <c r="D125" s="8">
        <v>2</v>
      </c>
      <c r="E125" s="8" t="str">
        <f>IFERROR(VLOOKUP(A125,'[1]P O'!$A:$F,6,0),0)</f>
        <v>000000000035126</v>
      </c>
      <c r="F125" s="8">
        <v>3</v>
      </c>
      <c r="G125" s="11">
        <v>3</v>
      </c>
      <c r="H125" s="8">
        <v>2</v>
      </c>
      <c r="I125" s="9">
        <v>1</v>
      </c>
      <c r="J125" s="8" t="s">
        <v>386</v>
      </c>
      <c r="K125" s="8" t="s">
        <v>391</v>
      </c>
    </row>
    <row r="126" spans="1:11" x14ac:dyDescent="0.25">
      <c r="A126" s="5" t="s">
        <v>226</v>
      </c>
      <c r="B126" s="5" t="s">
        <v>227</v>
      </c>
      <c r="C126" s="8">
        <v>6</v>
      </c>
      <c r="D126" s="8">
        <v>2</v>
      </c>
      <c r="E126" s="8" t="str">
        <f>IFERROR(VLOOKUP(A126,'[1]P O'!$A:$F,6,0),0)</f>
        <v>000000000034995</v>
      </c>
      <c r="F126" s="8">
        <v>2</v>
      </c>
      <c r="G126" s="11">
        <v>12</v>
      </c>
      <c r="H126" s="8">
        <v>6</v>
      </c>
      <c r="I126" s="9">
        <v>6</v>
      </c>
      <c r="J126" s="8" t="s">
        <v>386</v>
      </c>
      <c r="K126" s="8" t="s">
        <v>392</v>
      </c>
    </row>
    <row r="127" spans="1:11" x14ac:dyDescent="0.25">
      <c r="A127" s="5" t="s">
        <v>238</v>
      </c>
      <c r="B127" s="5" t="s">
        <v>239</v>
      </c>
      <c r="C127" s="8">
        <v>4</v>
      </c>
      <c r="D127" s="8">
        <v>2</v>
      </c>
      <c r="E127" s="8" t="str">
        <f>IFERROR(VLOOKUP(A127,'[1]P O'!$A:$F,6,0),0)</f>
        <v>000000000035106</v>
      </c>
      <c r="F127" s="8">
        <v>2</v>
      </c>
      <c r="G127" s="11">
        <v>6</v>
      </c>
      <c r="H127" s="8">
        <v>4</v>
      </c>
      <c r="I127" s="9">
        <v>2</v>
      </c>
      <c r="J127" s="8" t="s">
        <v>386</v>
      </c>
      <c r="K127" s="8" t="s">
        <v>391</v>
      </c>
    </row>
    <row r="128" spans="1:11" x14ac:dyDescent="0.25">
      <c r="A128" s="5" t="s">
        <v>240</v>
      </c>
      <c r="B128" s="5" t="s">
        <v>241</v>
      </c>
      <c r="C128" s="8">
        <v>2</v>
      </c>
      <c r="D128" s="8">
        <v>1</v>
      </c>
      <c r="E128" s="8" t="str">
        <f>IFERROR(VLOOKUP(A128,'[1]P O'!$A:$F,6,0),0)</f>
        <v>000000000035106</v>
      </c>
      <c r="F128" s="8">
        <v>1</v>
      </c>
      <c r="G128" s="11">
        <v>3</v>
      </c>
      <c r="H128" s="8">
        <v>2</v>
      </c>
      <c r="I128" s="9">
        <v>1</v>
      </c>
      <c r="J128" s="8" t="s">
        <v>386</v>
      </c>
      <c r="K128" s="8" t="s">
        <v>391</v>
      </c>
    </row>
    <row r="129" spans="1:11" x14ac:dyDescent="0.25">
      <c r="A129" s="5" t="s">
        <v>242</v>
      </c>
      <c r="B129" s="5" t="s">
        <v>243</v>
      </c>
      <c r="C129" s="8">
        <v>1</v>
      </c>
      <c r="D129" s="8">
        <v>2</v>
      </c>
      <c r="E129" s="8" t="str">
        <f>IFERROR(VLOOKUP(A129,'[1]P O'!$A:$F,6,0),0)</f>
        <v>000000000034963</v>
      </c>
      <c r="F129" s="8">
        <v>2</v>
      </c>
      <c r="G129" s="11">
        <v>3</v>
      </c>
      <c r="H129" s="8">
        <v>2</v>
      </c>
      <c r="I129" s="9">
        <v>1</v>
      </c>
      <c r="J129" s="8" t="s">
        <v>386</v>
      </c>
      <c r="K129" s="8" t="s">
        <v>391</v>
      </c>
    </row>
    <row r="130" spans="1:11" x14ac:dyDescent="0.25">
      <c r="A130" s="5" t="s">
        <v>244</v>
      </c>
      <c r="B130" s="5" t="s">
        <v>245</v>
      </c>
      <c r="C130" s="8">
        <v>1</v>
      </c>
      <c r="D130" s="8">
        <v>1</v>
      </c>
      <c r="E130" s="8">
        <f>IFERROR(VLOOKUP(A130,'[1]P O'!$A:$F,6,0),0)</f>
        <v>0</v>
      </c>
      <c r="F130" s="8">
        <v>1</v>
      </c>
      <c r="G130" s="11">
        <v>3</v>
      </c>
      <c r="H130" s="8">
        <v>2</v>
      </c>
      <c r="I130" s="9">
        <v>1</v>
      </c>
      <c r="J130" s="8" t="s">
        <v>386</v>
      </c>
      <c r="K130" s="8" t="s">
        <v>391</v>
      </c>
    </row>
    <row r="131" spans="1:11" x14ac:dyDescent="0.25">
      <c r="A131" s="5" t="s">
        <v>250</v>
      </c>
      <c r="B131" s="5" t="s">
        <v>251</v>
      </c>
      <c r="C131" s="8">
        <v>2</v>
      </c>
      <c r="D131" s="8">
        <v>1</v>
      </c>
      <c r="E131" s="8" t="str">
        <f>IFERROR(VLOOKUP(A131,'[1]P O'!$A:$F,6,0),0)</f>
        <v>000000000034996</v>
      </c>
      <c r="F131" s="8">
        <v>2</v>
      </c>
      <c r="G131" s="11">
        <v>3</v>
      </c>
      <c r="H131" s="8">
        <v>2</v>
      </c>
      <c r="I131" s="9">
        <v>2</v>
      </c>
      <c r="J131" s="8" t="s">
        <v>386</v>
      </c>
      <c r="K131" s="8" t="s">
        <v>392</v>
      </c>
    </row>
    <row r="132" spans="1:11" x14ac:dyDescent="0.25">
      <c r="A132" s="5" t="s">
        <v>254</v>
      </c>
      <c r="B132" s="5" t="s">
        <v>255</v>
      </c>
      <c r="C132" s="8">
        <v>30</v>
      </c>
      <c r="D132" s="8">
        <v>20</v>
      </c>
      <c r="E132" s="8" t="str">
        <f>IFERROR(VLOOKUP(A132,'[1]P O'!$A:$F,6,0),0)</f>
        <v>000000000029875</v>
      </c>
      <c r="F132" s="8">
        <v>50</v>
      </c>
      <c r="G132" s="11">
        <v>50</v>
      </c>
      <c r="H132" s="8">
        <v>30</v>
      </c>
      <c r="I132" s="9">
        <v>12</v>
      </c>
      <c r="J132" s="8" t="s">
        <v>386</v>
      </c>
      <c r="K132" s="8" t="s">
        <v>393</v>
      </c>
    </row>
    <row r="133" spans="1:11" x14ac:dyDescent="0.25">
      <c r="A133" s="5" t="s">
        <v>258</v>
      </c>
      <c r="B133" s="5" t="s">
        <v>259</v>
      </c>
      <c r="C133" s="8">
        <v>1</v>
      </c>
      <c r="D133" s="8">
        <v>1</v>
      </c>
      <c r="E133" s="8" t="str">
        <f>IFERROR(VLOOKUP(A133,'[1]P O'!$A:$F,6,0),0)</f>
        <v>000000000034984</v>
      </c>
      <c r="F133" s="8">
        <v>1</v>
      </c>
      <c r="G133" s="11">
        <v>2</v>
      </c>
      <c r="H133" s="8">
        <v>1</v>
      </c>
      <c r="I133" s="9">
        <v>1</v>
      </c>
      <c r="J133" s="8" t="s">
        <v>386</v>
      </c>
      <c r="K133" s="8" t="s">
        <v>392</v>
      </c>
    </row>
    <row r="134" spans="1:11" x14ac:dyDescent="0.25">
      <c r="A134" s="5" t="s">
        <v>272</v>
      </c>
      <c r="B134" s="5" t="s">
        <v>273</v>
      </c>
      <c r="C134" s="8">
        <v>2</v>
      </c>
      <c r="D134" s="8">
        <v>1</v>
      </c>
      <c r="E134" s="8" t="str">
        <f>IFERROR(VLOOKUP(A134,'[1]P O'!$A:$F,6,0),0)</f>
        <v>000000000035122</v>
      </c>
      <c r="F134" s="8">
        <v>1</v>
      </c>
      <c r="G134" s="11">
        <v>3</v>
      </c>
      <c r="H134" s="8">
        <v>2</v>
      </c>
      <c r="I134" s="9">
        <v>1</v>
      </c>
      <c r="J134" s="8" t="s">
        <v>386</v>
      </c>
      <c r="K134" s="8" t="s">
        <v>393</v>
      </c>
    </row>
    <row r="135" spans="1:11" x14ac:dyDescent="0.25">
      <c r="A135" s="5" t="s">
        <v>278</v>
      </c>
      <c r="B135" s="5" t="s">
        <v>279</v>
      </c>
      <c r="C135" s="8">
        <v>1</v>
      </c>
      <c r="D135" s="8">
        <v>1</v>
      </c>
      <c r="E135" s="8" t="str">
        <f>IFERROR(VLOOKUP(A135,'[1]P O'!$A:$F,6,0),0)</f>
        <v>000000000034918</v>
      </c>
      <c r="F135" s="8">
        <v>1</v>
      </c>
      <c r="G135" s="11">
        <v>2</v>
      </c>
      <c r="H135" s="8">
        <v>1</v>
      </c>
      <c r="I135" s="9">
        <v>1</v>
      </c>
      <c r="J135" s="8" t="s">
        <v>386</v>
      </c>
      <c r="K135" s="8" t="s">
        <v>390</v>
      </c>
    </row>
    <row r="136" spans="1:11" x14ac:dyDescent="0.25">
      <c r="A136" s="5" t="s">
        <v>280</v>
      </c>
      <c r="B136" s="5" t="s">
        <v>281</v>
      </c>
      <c r="C136" s="8">
        <v>2</v>
      </c>
      <c r="D136" s="8">
        <v>2</v>
      </c>
      <c r="E136" s="8" t="str">
        <f>IFERROR(VLOOKUP(A136,'[1]P O'!$A:$F,6,0),0)</f>
        <v>000000000035093</v>
      </c>
      <c r="F136" s="8">
        <v>2</v>
      </c>
      <c r="G136" s="11">
        <v>6</v>
      </c>
      <c r="H136" s="8">
        <v>4</v>
      </c>
      <c r="I136" s="9">
        <v>2</v>
      </c>
      <c r="J136" s="8" t="s">
        <v>386</v>
      </c>
      <c r="K136" s="8" t="s">
        <v>395</v>
      </c>
    </row>
    <row r="137" spans="1:11" x14ac:dyDescent="0.25">
      <c r="A137" s="5" t="s">
        <v>282</v>
      </c>
      <c r="B137" s="5" t="s">
        <v>283</v>
      </c>
      <c r="C137" s="8">
        <v>200</v>
      </c>
      <c r="D137" s="8">
        <v>200</v>
      </c>
      <c r="E137" s="8" t="str">
        <f>IFERROR(VLOOKUP(A137,'[1]P O'!$A:$F,6,0),0)</f>
        <v>000000000035049</v>
      </c>
      <c r="F137" s="8">
        <v>400</v>
      </c>
      <c r="G137" s="11">
        <v>400</v>
      </c>
      <c r="H137" s="8">
        <v>200</v>
      </c>
      <c r="I137" s="9">
        <v>200</v>
      </c>
      <c r="J137" s="8" t="s">
        <v>386</v>
      </c>
      <c r="K137" s="8" t="s">
        <v>390</v>
      </c>
    </row>
    <row r="138" spans="1:11" x14ac:dyDescent="0.25">
      <c r="A138" s="5" t="s">
        <v>286</v>
      </c>
      <c r="B138" s="5" t="s">
        <v>287</v>
      </c>
      <c r="C138" s="8">
        <v>5</v>
      </c>
      <c r="D138" s="8">
        <v>1</v>
      </c>
      <c r="E138" s="8" t="str">
        <f>IFERROR(VLOOKUP(A138,'[1]P O'!$A:$F,6,0),0)</f>
        <v>000000000035125</v>
      </c>
      <c r="F138" s="8">
        <v>1</v>
      </c>
      <c r="G138" s="11">
        <v>10</v>
      </c>
      <c r="H138" s="8">
        <v>5</v>
      </c>
      <c r="I138" s="9">
        <v>3</v>
      </c>
      <c r="J138" s="8" t="s">
        <v>386</v>
      </c>
      <c r="K138" s="8" t="s">
        <v>392</v>
      </c>
    </row>
    <row r="139" spans="1:11" x14ac:dyDescent="0.25">
      <c r="A139" s="5" t="s">
        <v>288</v>
      </c>
      <c r="B139" s="5" t="s">
        <v>289</v>
      </c>
      <c r="C139" s="8">
        <v>2</v>
      </c>
      <c r="D139" s="8">
        <v>2</v>
      </c>
      <c r="E139" s="8" t="str">
        <f>IFERROR(VLOOKUP(A139,'[1]P O'!$A:$F,6,0),0)</f>
        <v>000000000035029</v>
      </c>
      <c r="F139" s="8">
        <v>2</v>
      </c>
      <c r="G139" s="11">
        <v>5</v>
      </c>
      <c r="H139" s="8">
        <v>3</v>
      </c>
      <c r="I139" s="9">
        <v>2</v>
      </c>
      <c r="J139" s="8" t="s">
        <v>386</v>
      </c>
      <c r="K139" s="8" t="s">
        <v>390</v>
      </c>
    </row>
    <row r="140" spans="1:11" x14ac:dyDescent="0.25">
      <c r="A140" s="5" t="s">
        <v>292</v>
      </c>
      <c r="B140" s="5" t="s">
        <v>293</v>
      </c>
      <c r="C140" s="8">
        <v>5</v>
      </c>
      <c r="D140" s="8">
        <v>4</v>
      </c>
      <c r="E140" s="8" t="str">
        <f>IFERROR(VLOOKUP(A140,'[1]P O'!$A:$F,6,0),0)</f>
        <v>000000000032955</v>
      </c>
      <c r="F140" s="8">
        <v>4</v>
      </c>
      <c r="G140" s="11">
        <v>10</v>
      </c>
      <c r="H140" s="8">
        <v>5</v>
      </c>
      <c r="I140" s="9">
        <v>5</v>
      </c>
      <c r="J140" s="8" t="s">
        <v>386</v>
      </c>
      <c r="K140" s="8" t="s">
        <v>393</v>
      </c>
    </row>
    <row r="141" spans="1:11" x14ac:dyDescent="0.25">
      <c r="A141" s="5" t="s">
        <v>294</v>
      </c>
      <c r="B141" s="5" t="s">
        <v>295</v>
      </c>
      <c r="C141" s="8">
        <v>8</v>
      </c>
      <c r="D141" s="8">
        <v>9</v>
      </c>
      <c r="E141" s="8" t="str">
        <f>IFERROR(VLOOKUP(A141,'[1]P O'!$A:$F,6,0),0)</f>
        <v>000000000032955</v>
      </c>
      <c r="F141" s="8">
        <v>9</v>
      </c>
      <c r="G141" s="11">
        <v>20</v>
      </c>
      <c r="H141" s="8">
        <v>10</v>
      </c>
      <c r="I141" s="9">
        <v>8</v>
      </c>
      <c r="J141" s="8" t="s">
        <v>386</v>
      </c>
      <c r="K141" s="8" t="s">
        <v>393</v>
      </c>
    </row>
    <row r="142" spans="1:11" x14ac:dyDescent="0.25">
      <c r="A142" s="5" t="s">
        <v>296</v>
      </c>
      <c r="B142" s="5" t="s">
        <v>297</v>
      </c>
      <c r="C142" s="8">
        <v>37</v>
      </c>
      <c r="D142" s="8">
        <v>2</v>
      </c>
      <c r="E142" s="8" t="str">
        <f>IFERROR(VLOOKUP(A142,'[1]P O'!$A:$F,6,0),0)</f>
        <v>000000000034931</v>
      </c>
      <c r="F142" s="8">
        <v>2</v>
      </c>
      <c r="G142" s="11">
        <v>50</v>
      </c>
      <c r="H142" s="8">
        <v>40</v>
      </c>
      <c r="I142" s="9">
        <v>30</v>
      </c>
      <c r="J142" s="8" t="s">
        <v>386</v>
      </c>
      <c r="K142" s="8" t="s">
        <v>396</v>
      </c>
    </row>
    <row r="143" spans="1:11" x14ac:dyDescent="0.25">
      <c r="A143" s="5" t="s">
        <v>298</v>
      </c>
      <c r="B143" s="5" t="s">
        <v>299</v>
      </c>
      <c r="C143" s="8">
        <v>6</v>
      </c>
      <c r="D143" s="8">
        <v>6</v>
      </c>
      <c r="E143" s="8" t="str">
        <f>IFERROR(VLOOKUP(A143,'[1]P O'!$A:$F,6,0),0)</f>
        <v>000000000035122</v>
      </c>
      <c r="F143" s="8">
        <v>6</v>
      </c>
      <c r="G143" s="11">
        <v>12</v>
      </c>
      <c r="H143" s="8">
        <v>8</v>
      </c>
      <c r="I143" s="9">
        <v>6</v>
      </c>
      <c r="J143" s="8" t="s">
        <v>386</v>
      </c>
      <c r="K143" s="8" t="s">
        <v>393</v>
      </c>
    </row>
    <row r="144" spans="1:11" x14ac:dyDescent="0.25">
      <c r="A144" s="5" t="s">
        <v>306</v>
      </c>
      <c r="B144" s="5" t="s">
        <v>307</v>
      </c>
      <c r="C144" s="8">
        <v>20</v>
      </c>
      <c r="D144" s="8">
        <v>6</v>
      </c>
      <c r="E144" s="8" t="str">
        <f>IFERROR(VLOOKUP(A144,'[1]P O'!$A:$F,6,0),0)</f>
        <v>000000000035125</v>
      </c>
      <c r="F144" s="8">
        <v>6</v>
      </c>
      <c r="G144" s="11">
        <v>50</v>
      </c>
      <c r="H144" s="8">
        <v>25</v>
      </c>
      <c r="I144" s="9">
        <v>10</v>
      </c>
      <c r="J144" s="8" t="s">
        <v>386</v>
      </c>
      <c r="K144" s="8" t="s">
        <v>392</v>
      </c>
    </row>
    <row r="145" spans="1:11" x14ac:dyDescent="0.25">
      <c r="A145" s="5" t="s">
        <v>308</v>
      </c>
      <c r="B145" s="5" t="s">
        <v>309</v>
      </c>
      <c r="C145" s="8">
        <v>27</v>
      </c>
      <c r="D145" s="8">
        <v>7</v>
      </c>
      <c r="E145" s="8" t="str">
        <f>IFERROR(VLOOKUP(A145,'[1]P O'!$A:$F,6,0),0)</f>
        <v>000000000030971</v>
      </c>
      <c r="F145" s="8">
        <v>7</v>
      </c>
      <c r="G145" s="11">
        <v>50</v>
      </c>
      <c r="H145" s="8">
        <v>30</v>
      </c>
      <c r="I145" s="9">
        <v>20</v>
      </c>
      <c r="J145" s="8" t="s">
        <v>386</v>
      </c>
      <c r="K145" s="8" t="s">
        <v>393</v>
      </c>
    </row>
    <row r="146" spans="1:11" x14ac:dyDescent="0.25">
      <c r="A146" s="5" t="s">
        <v>312</v>
      </c>
      <c r="B146" s="5" t="s">
        <v>313</v>
      </c>
      <c r="C146" s="8">
        <v>6</v>
      </c>
      <c r="D146" s="8">
        <v>2</v>
      </c>
      <c r="E146" s="8" t="str">
        <f>IFERROR(VLOOKUP(A146,'[1]P O'!$A:$F,6,0),0)</f>
        <v>000000000035106</v>
      </c>
      <c r="F146" s="8">
        <v>2</v>
      </c>
      <c r="G146" s="11">
        <v>8</v>
      </c>
      <c r="H146" s="8">
        <v>6</v>
      </c>
      <c r="I146" s="9">
        <v>4</v>
      </c>
      <c r="J146" s="8" t="s">
        <v>386</v>
      </c>
      <c r="K146" s="8" t="s">
        <v>393</v>
      </c>
    </row>
    <row r="147" spans="1:11" x14ac:dyDescent="0.25">
      <c r="A147" s="5" t="s">
        <v>324</v>
      </c>
      <c r="B147" s="5" t="s">
        <v>325</v>
      </c>
      <c r="C147" s="8">
        <v>3</v>
      </c>
      <c r="D147" s="8">
        <v>2</v>
      </c>
      <c r="E147" s="8" t="str">
        <f>IFERROR(VLOOKUP(A147,'[1]P O'!$A:$F,6,0),0)</f>
        <v>000000000035106</v>
      </c>
      <c r="F147" s="8">
        <v>2</v>
      </c>
      <c r="G147" s="11">
        <v>5</v>
      </c>
      <c r="H147" s="8">
        <v>3</v>
      </c>
      <c r="I147" s="9">
        <v>2</v>
      </c>
      <c r="J147" s="8" t="s">
        <v>386</v>
      </c>
      <c r="K147" s="8" t="s">
        <v>391</v>
      </c>
    </row>
    <row r="148" spans="1:11" x14ac:dyDescent="0.25">
      <c r="A148" s="5" t="s">
        <v>326</v>
      </c>
      <c r="B148" s="5" t="s">
        <v>327</v>
      </c>
      <c r="C148" s="8">
        <v>2</v>
      </c>
      <c r="D148" s="8">
        <v>2</v>
      </c>
      <c r="E148" s="8" t="str">
        <f>IFERROR(VLOOKUP(A148,'[1]P O'!$A:$F,6,0),0)</f>
        <v>000000000034440</v>
      </c>
      <c r="F148" s="8">
        <v>2</v>
      </c>
      <c r="G148" s="11">
        <v>4</v>
      </c>
      <c r="H148" s="8">
        <v>2</v>
      </c>
      <c r="I148" s="9">
        <v>1</v>
      </c>
      <c r="J148" s="8" t="s">
        <v>386</v>
      </c>
      <c r="K148" s="8" t="s">
        <v>392</v>
      </c>
    </row>
    <row r="149" spans="1:11" x14ac:dyDescent="0.25">
      <c r="A149" s="5" t="s">
        <v>328</v>
      </c>
      <c r="B149" s="5" t="s">
        <v>329</v>
      </c>
      <c r="C149" s="8">
        <v>6</v>
      </c>
      <c r="D149" s="8">
        <v>4</v>
      </c>
      <c r="E149" s="8" t="str">
        <f>IFERROR(VLOOKUP(A149,'[1]P O'!$A:$F,6,0),0)</f>
        <v>000000000034972</v>
      </c>
      <c r="F149" s="8">
        <v>6</v>
      </c>
      <c r="G149" s="11">
        <v>10</v>
      </c>
      <c r="H149" s="8">
        <v>6</v>
      </c>
      <c r="I149" s="9">
        <v>4</v>
      </c>
      <c r="J149" s="8" t="s">
        <v>386</v>
      </c>
      <c r="K149" s="8" t="s">
        <v>393</v>
      </c>
    </row>
    <row r="150" spans="1:11" x14ac:dyDescent="0.25">
      <c r="A150" s="5" t="s">
        <v>330</v>
      </c>
      <c r="B150" s="5" t="s">
        <v>331</v>
      </c>
      <c r="C150" s="8">
        <v>6</v>
      </c>
      <c r="D150" s="8">
        <v>4</v>
      </c>
      <c r="E150" s="8">
        <f>IFERROR(VLOOKUP(A150,'[1]P O'!$A:$F,6,0),0)</f>
        <v>0</v>
      </c>
      <c r="F150" s="8">
        <v>4</v>
      </c>
      <c r="G150" s="11">
        <v>10</v>
      </c>
      <c r="H150" s="8">
        <v>6</v>
      </c>
      <c r="I150" s="9">
        <v>4</v>
      </c>
      <c r="J150" s="8" t="s">
        <v>386</v>
      </c>
      <c r="K150" s="8" t="s">
        <v>395</v>
      </c>
    </row>
    <row r="151" spans="1:11" x14ac:dyDescent="0.25">
      <c r="A151" s="5" t="s">
        <v>332</v>
      </c>
      <c r="B151" s="5" t="s">
        <v>333</v>
      </c>
      <c r="C151" s="8">
        <v>2</v>
      </c>
      <c r="D151" s="8">
        <v>1</v>
      </c>
      <c r="E151" s="8" t="str">
        <f>IFERROR(VLOOKUP(A151,'[1]P O'!$A:$F,6,0),0)</f>
        <v>000000000035106</v>
      </c>
      <c r="F151" s="8">
        <v>1</v>
      </c>
      <c r="G151" s="11">
        <v>3</v>
      </c>
      <c r="H151" s="8">
        <v>2</v>
      </c>
      <c r="I151" s="9">
        <v>2</v>
      </c>
      <c r="J151" s="8" t="s">
        <v>386</v>
      </c>
      <c r="K151" s="8" t="s">
        <v>391</v>
      </c>
    </row>
    <row r="152" spans="1:11" x14ac:dyDescent="0.25">
      <c r="A152" s="5" t="s">
        <v>336</v>
      </c>
      <c r="B152" s="5" t="s">
        <v>337</v>
      </c>
      <c r="C152" s="8">
        <v>2</v>
      </c>
      <c r="D152" s="8">
        <v>1</v>
      </c>
      <c r="E152" s="8" t="str">
        <f>IFERROR(VLOOKUP(A152,'[1]P O'!$A:$F,6,0),0)</f>
        <v>000000000030199</v>
      </c>
      <c r="F152" s="8">
        <v>1</v>
      </c>
      <c r="G152" s="11">
        <v>6</v>
      </c>
      <c r="H152" s="8">
        <v>4</v>
      </c>
      <c r="I152" s="9">
        <v>2</v>
      </c>
      <c r="J152" s="8" t="s">
        <v>386</v>
      </c>
      <c r="K152" s="8" t="s">
        <v>392</v>
      </c>
    </row>
    <row r="153" spans="1:11" x14ac:dyDescent="0.25">
      <c r="A153" s="5" t="s">
        <v>342</v>
      </c>
      <c r="B153" s="5" t="s">
        <v>343</v>
      </c>
      <c r="C153" s="8">
        <v>1</v>
      </c>
      <c r="D153" s="8">
        <v>1</v>
      </c>
      <c r="E153" s="8" t="str">
        <f>IFERROR(VLOOKUP(A153,'[1]P O'!$A:$F,6,0),0)</f>
        <v>000000000032379</v>
      </c>
      <c r="F153" s="8">
        <v>1</v>
      </c>
      <c r="G153" s="11">
        <v>2</v>
      </c>
      <c r="H153" s="8">
        <v>1</v>
      </c>
      <c r="I153" s="9">
        <v>1</v>
      </c>
      <c r="J153" s="8" t="s">
        <v>386</v>
      </c>
      <c r="K153" s="8" t="s">
        <v>395</v>
      </c>
    </row>
    <row r="154" spans="1:11" x14ac:dyDescent="0.25">
      <c r="A154" s="5" t="s">
        <v>344</v>
      </c>
      <c r="B154" s="5" t="s">
        <v>345</v>
      </c>
      <c r="C154" s="8">
        <v>2</v>
      </c>
      <c r="D154" s="8">
        <v>2</v>
      </c>
      <c r="E154" s="8" t="str">
        <f>IFERROR(VLOOKUP(A154,'[1]P O'!$A:$F,6,0),0)</f>
        <v>000000000035125</v>
      </c>
      <c r="F154" s="8">
        <v>2</v>
      </c>
      <c r="G154" s="11">
        <v>6</v>
      </c>
      <c r="H154" s="8">
        <v>4</v>
      </c>
      <c r="I154" s="9">
        <v>2</v>
      </c>
      <c r="J154" s="8" t="s">
        <v>386</v>
      </c>
      <c r="K154" s="8" t="s">
        <v>392</v>
      </c>
    </row>
    <row r="155" spans="1:11" x14ac:dyDescent="0.25">
      <c r="A155" s="5" t="s">
        <v>346</v>
      </c>
      <c r="B155" s="5" t="s">
        <v>347</v>
      </c>
      <c r="C155" s="8">
        <v>3</v>
      </c>
      <c r="D155" s="8">
        <v>1</v>
      </c>
      <c r="E155" s="8" t="str">
        <f>IFERROR(VLOOKUP(A155,'[1]P O'!$A:$F,6,0),0)</f>
        <v>000000000035125</v>
      </c>
      <c r="F155" s="8">
        <v>1</v>
      </c>
      <c r="G155" s="11">
        <v>6</v>
      </c>
      <c r="H155" s="8">
        <v>4</v>
      </c>
      <c r="I155" s="9">
        <v>2</v>
      </c>
      <c r="J155" s="8" t="s">
        <v>386</v>
      </c>
      <c r="K155" s="8" t="s">
        <v>392</v>
      </c>
    </row>
    <row r="156" spans="1:11" x14ac:dyDescent="0.25">
      <c r="A156" s="5" t="s">
        <v>352</v>
      </c>
      <c r="B156" s="5" t="s">
        <v>353</v>
      </c>
      <c r="C156" s="8">
        <v>2</v>
      </c>
      <c r="D156" s="8">
        <v>2</v>
      </c>
      <c r="E156" s="8" t="str">
        <f>IFERROR(VLOOKUP(A156,'[1]P O'!$A:$F,6,0),0)</f>
        <v>000000000035047</v>
      </c>
      <c r="F156" s="8">
        <v>3</v>
      </c>
      <c r="G156" s="11">
        <v>4</v>
      </c>
      <c r="H156" s="8">
        <v>3</v>
      </c>
      <c r="I156" s="9">
        <v>2</v>
      </c>
      <c r="J156" s="8" t="s">
        <v>386</v>
      </c>
      <c r="K156" s="8" t="s">
        <v>393</v>
      </c>
    </row>
    <row r="157" spans="1:11" x14ac:dyDescent="0.25">
      <c r="A157" s="5" t="s">
        <v>354</v>
      </c>
      <c r="B157" s="5" t="s">
        <v>355</v>
      </c>
      <c r="C157" s="8">
        <v>3</v>
      </c>
      <c r="D157" s="8">
        <v>1</v>
      </c>
      <c r="E157" s="8" t="str">
        <f>IFERROR(VLOOKUP(A157,'[1]P O'!$A:$F,6,0),0)</f>
        <v>000000000035047</v>
      </c>
      <c r="F157" s="8">
        <v>1</v>
      </c>
      <c r="G157" s="11">
        <v>4</v>
      </c>
      <c r="H157" s="8">
        <v>3</v>
      </c>
      <c r="I157" s="9">
        <v>2</v>
      </c>
      <c r="J157" s="8" t="s">
        <v>386</v>
      </c>
      <c r="K157" s="8" t="s">
        <v>393</v>
      </c>
    </row>
    <row r="158" spans="1:11" x14ac:dyDescent="0.25">
      <c r="A158" s="5" t="s">
        <v>356</v>
      </c>
      <c r="B158" s="5" t="s">
        <v>357</v>
      </c>
      <c r="C158" s="8">
        <v>16</v>
      </c>
      <c r="D158" s="8">
        <v>9</v>
      </c>
      <c r="E158" s="8" t="str">
        <f>IFERROR(VLOOKUP(A158,'[1]P O'!$A:$F,6,0),0)</f>
        <v>000000000034430</v>
      </c>
      <c r="F158" s="8">
        <v>10</v>
      </c>
      <c r="G158" s="11">
        <v>25</v>
      </c>
      <c r="H158" s="8">
        <v>25</v>
      </c>
      <c r="I158" s="9">
        <v>0</v>
      </c>
      <c r="J158" s="8" t="s">
        <v>386</v>
      </c>
      <c r="K158" s="8" t="s">
        <v>392</v>
      </c>
    </row>
    <row r="159" spans="1:11" x14ac:dyDescent="0.25">
      <c r="A159" s="5" t="s">
        <v>371</v>
      </c>
      <c r="B159" s="5" t="s">
        <v>372</v>
      </c>
      <c r="C159" s="8">
        <v>80</v>
      </c>
      <c r="D159" s="8">
        <v>70</v>
      </c>
      <c r="E159" s="8" t="str">
        <f>IFERROR(VLOOKUP(A159,'[1]P O'!$A:$F,6,0),0)</f>
        <v>000000000034300</v>
      </c>
      <c r="F159" s="8">
        <v>950</v>
      </c>
      <c r="G159" s="11">
        <v>150</v>
      </c>
      <c r="H159" s="8">
        <v>100</v>
      </c>
      <c r="I159" s="9">
        <v>50</v>
      </c>
      <c r="J159" s="8" t="s">
        <v>386</v>
      </c>
      <c r="K159" s="8" t="s">
        <v>397</v>
      </c>
    </row>
    <row r="160" spans="1:11" x14ac:dyDescent="0.25">
      <c r="A160" s="5" t="s">
        <v>8</v>
      </c>
      <c r="B160" s="5" t="s">
        <v>9</v>
      </c>
      <c r="C160" s="8">
        <v>30</v>
      </c>
      <c r="D160" s="8">
        <v>50</v>
      </c>
      <c r="E160" s="8" t="s">
        <v>382</v>
      </c>
      <c r="F160" s="8">
        <v>50</v>
      </c>
      <c r="G160" s="11">
        <v>100</v>
      </c>
      <c r="H160" s="8">
        <v>75</v>
      </c>
      <c r="I160" s="9">
        <v>50</v>
      </c>
      <c r="J160" s="8" t="s">
        <v>388</v>
      </c>
      <c r="K160" s="8" t="s">
        <v>393</v>
      </c>
    </row>
    <row r="161" spans="1:11" x14ac:dyDescent="0.25">
      <c r="A161" s="5" t="s">
        <v>48</v>
      </c>
      <c r="B161" s="5" t="s">
        <v>49</v>
      </c>
      <c r="C161" s="8">
        <v>4</v>
      </c>
      <c r="D161" s="8">
        <v>16</v>
      </c>
      <c r="E161" s="8" t="str">
        <f>IFERROR(VLOOKUP(A161,'[1]P O'!$A:$F,6,0),0)</f>
        <v>000000000035039</v>
      </c>
      <c r="F161" s="8">
        <v>20</v>
      </c>
      <c r="G161" s="11">
        <v>20</v>
      </c>
      <c r="H161" s="8">
        <v>15</v>
      </c>
      <c r="I161" s="9">
        <v>5</v>
      </c>
      <c r="J161" s="8" t="s">
        <v>388</v>
      </c>
      <c r="K161" s="8" t="s">
        <v>390</v>
      </c>
    </row>
    <row r="162" spans="1:11" x14ac:dyDescent="0.25">
      <c r="A162" s="5" t="s">
        <v>66</v>
      </c>
      <c r="B162" s="5" t="s">
        <v>67</v>
      </c>
      <c r="C162" s="8">
        <v>1</v>
      </c>
      <c r="D162" s="8">
        <v>2</v>
      </c>
      <c r="E162" s="8" t="str">
        <f>IFERROR(VLOOKUP(A162,'[1]P O'!$A:$F,6,0),0)</f>
        <v>000000000034984</v>
      </c>
      <c r="F162" s="8">
        <v>2</v>
      </c>
      <c r="G162" s="11">
        <v>6</v>
      </c>
      <c r="H162" s="8">
        <v>3</v>
      </c>
      <c r="I162" s="9">
        <v>3</v>
      </c>
      <c r="J162" s="8" t="s">
        <v>388</v>
      </c>
      <c r="K162" s="8" t="s">
        <v>392</v>
      </c>
    </row>
    <row r="163" spans="1:11" x14ac:dyDescent="0.25">
      <c r="A163" s="5" t="s">
        <v>72</v>
      </c>
      <c r="B163" s="5" t="s">
        <v>73</v>
      </c>
      <c r="C163" s="8">
        <v>11</v>
      </c>
      <c r="D163" s="8">
        <v>39</v>
      </c>
      <c r="E163" s="8" t="str">
        <f>IFERROR(VLOOKUP(A163,'[1]P O'!$A:$F,6,0),0)</f>
        <v>000000000035132</v>
      </c>
      <c r="F163" s="8">
        <v>50</v>
      </c>
      <c r="G163" s="11">
        <v>50</v>
      </c>
      <c r="H163" s="8">
        <v>30</v>
      </c>
      <c r="I163" s="9">
        <v>20</v>
      </c>
      <c r="J163" s="8" t="s">
        <v>388</v>
      </c>
      <c r="K163" s="8" t="s">
        <v>393</v>
      </c>
    </row>
    <row r="164" spans="1:11" x14ac:dyDescent="0.25">
      <c r="A164" s="5" t="s">
        <v>80</v>
      </c>
      <c r="B164" s="5" t="s">
        <v>81</v>
      </c>
      <c r="C164" s="8">
        <v>2</v>
      </c>
      <c r="D164" s="8">
        <v>30</v>
      </c>
      <c r="E164" s="8" t="str">
        <f>IFERROR(VLOOKUP(A164,'[1]P O'!$A:$F,6,0),0)</f>
        <v>000000000035005</v>
      </c>
      <c r="F164" s="8">
        <v>30</v>
      </c>
      <c r="G164" s="11">
        <v>40</v>
      </c>
      <c r="H164" s="8">
        <v>30</v>
      </c>
      <c r="I164" s="9">
        <v>20</v>
      </c>
      <c r="J164" s="8" t="s">
        <v>388</v>
      </c>
      <c r="K164" s="8" t="s">
        <v>393</v>
      </c>
    </row>
    <row r="165" spans="1:11" x14ac:dyDescent="0.25">
      <c r="A165" s="5" t="s">
        <v>82</v>
      </c>
      <c r="B165" s="5" t="s">
        <v>83</v>
      </c>
      <c r="C165" s="8">
        <v>1</v>
      </c>
      <c r="D165" s="8">
        <v>20</v>
      </c>
      <c r="E165" s="8" t="str">
        <f>IFERROR(VLOOKUP(A165,'[1]P O'!$A:$F,6,0),0)</f>
        <v>000000000035005</v>
      </c>
      <c r="F165" s="8">
        <v>20</v>
      </c>
      <c r="G165" s="11">
        <v>20</v>
      </c>
      <c r="H165" s="8">
        <v>8</v>
      </c>
      <c r="I165" s="9">
        <v>4</v>
      </c>
      <c r="J165" s="8" t="s">
        <v>388</v>
      </c>
      <c r="K165" s="8" t="s">
        <v>393</v>
      </c>
    </row>
    <row r="166" spans="1:11" x14ac:dyDescent="0.25">
      <c r="A166" s="5" t="s">
        <v>86</v>
      </c>
      <c r="B166" s="5" t="s">
        <v>87</v>
      </c>
      <c r="C166" s="8">
        <v>150</v>
      </c>
      <c r="D166" s="8">
        <v>850</v>
      </c>
      <c r="E166" s="8">
        <f>IFERROR(VLOOKUP(A166,'[1]P O'!$A:$F,6,0),0)</f>
        <v>0</v>
      </c>
      <c r="F166" s="8">
        <v>1200</v>
      </c>
      <c r="G166" s="11">
        <v>1000</v>
      </c>
      <c r="H166" s="8">
        <v>600</v>
      </c>
      <c r="I166" s="9">
        <v>400</v>
      </c>
      <c r="J166" s="8" t="s">
        <v>388</v>
      </c>
      <c r="K166" s="8" t="s">
        <v>397</v>
      </c>
    </row>
    <row r="167" spans="1:11" x14ac:dyDescent="0.25">
      <c r="A167" s="5" t="s">
        <v>88</v>
      </c>
      <c r="B167" s="5" t="s">
        <v>89</v>
      </c>
      <c r="C167" s="8">
        <v>70</v>
      </c>
      <c r="D167" s="8">
        <v>200</v>
      </c>
      <c r="E167" s="8" t="str">
        <f>IFERROR(VLOOKUP(A167,'[1]P O'!$A:$F,6,0),0)</f>
        <v>000000000034950</v>
      </c>
      <c r="F167" s="8">
        <v>200</v>
      </c>
      <c r="G167" s="11">
        <v>300</v>
      </c>
      <c r="H167" s="8">
        <v>124</v>
      </c>
      <c r="I167" s="9">
        <v>224</v>
      </c>
      <c r="J167" s="8" t="s">
        <v>388</v>
      </c>
      <c r="K167" s="8" t="s">
        <v>396</v>
      </c>
    </row>
    <row r="168" spans="1:11" x14ac:dyDescent="0.25">
      <c r="A168" s="5" t="s">
        <v>92</v>
      </c>
      <c r="B168" s="5" t="s">
        <v>93</v>
      </c>
      <c r="C168" s="8">
        <v>23</v>
      </c>
      <c r="D168" s="8">
        <v>50</v>
      </c>
      <c r="E168" s="8" t="str">
        <f>IFERROR(VLOOKUP(A168,'[1]P O'!$A:$F,6,0),0)</f>
        <v>000000000034953</v>
      </c>
      <c r="F168" s="8">
        <v>50</v>
      </c>
      <c r="G168" s="11">
        <v>100</v>
      </c>
      <c r="H168" s="8">
        <v>75</v>
      </c>
      <c r="I168" s="9">
        <v>50</v>
      </c>
      <c r="J168" s="8" t="s">
        <v>388</v>
      </c>
      <c r="K168" s="8" t="s">
        <v>396</v>
      </c>
    </row>
    <row r="169" spans="1:11" x14ac:dyDescent="0.25">
      <c r="A169" s="5" t="s">
        <v>94</v>
      </c>
      <c r="B169" s="5" t="s">
        <v>95</v>
      </c>
      <c r="C169" s="8">
        <v>1</v>
      </c>
      <c r="D169" s="8">
        <v>12</v>
      </c>
      <c r="E169" s="8" t="str">
        <f>IFERROR(VLOOKUP(A169,'[1]P O'!$A:$F,6,0),0)</f>
        <v>000000000035109</v>
      </c>
      <c r="F169" s="8">
        <v>12</v>
      </c>
      <c r="G169" s="11">
        <v>24</v>
      </c>
      <c r="H169" s="8">
        <v>18</v>
      </c>
      <c r="I169" s="9">
        <v>12</v>
      </c>
      <c r="J169" s="8" t="s">
        <v>388</v>
      </c>
      <c r="K169" s="8" t="s">
        <v>396</v>
      </c>
    </row>
    <row r="170" spans="1:11" x14ac:dyDescent="0.25">
      <c r="A170" s="5" t="s">
        <v>98</v>
      </c>
      <c r="B170" s="5" t="s">
        <v>99</v>
      </c>
      <c r="C170" s="8">
        <v>1</v>
      </c>
      <c r="D170" s="8">
        <v>36</v>
      </c>
      <c r="E170" s="8" t="str">
        <f>IFERROR(VLOOKUP(A170,'[1]P O'!$A:$F,6,0),0)</f>
        <v>000000000033341</v>
      </c>
      <c r="F170" s="8">
        <v>36</v>
      </c>
      <c r="G170" s="11">
        <v>40</v>
      </c>
      <c r="H170" s="8">
        <v>25</v>
      </c>
      <c r="I170" s="9">
        <v>15</v>
      </c>
      <c r="J170" s="8" t="s">
        <v>388</v>
      </c>
      <c r="K170" s="8" t="s">
        <v>396</v>
      </c>
    </row>
    <row r="171" spans="1:11" x14ac:dyDescent="0.25">
      <c r="A171" s="5" t="s">
        <v>100</v>
      </c>
      <c r="B171" s="5" t="s">
        <v>101</v>
      </c>
      <c r="C171" s="8">
        <v>41</v>
      </c>
      <c r="D171" s="8">
        <v>59</v>
      </c>
      <c r="E171" s="8" t="str">
        <f>IFERROR(VLOOKUP(A171,'[1]P O'!$A:$F,6,0),0)</f>
        <v>000000000034844</v>
      </c>
      <c r="F171" s="8">
        <v>130</v>
      </c>
      <c r="G171" s="11">
        <v>100</v>
      </c>
      <c r="H171" s="8">
        <v>75</v>
      </c>
      <c r="I171" s="9">
        <v>50</v>
      </c>
      <c r="J171" s="8" t="s">
        <v>388</v>
      </c>
      <c r="K171" s="8" t="s">
        <v>396</v>
      </c>
    </row>
    <row r="172" spans="1:11" x14ac:dyDescent="0.25">
      <c r="A172" s="5" t="s">
        <v>114</v>
      </c>
      <c r="B172" s="5" t="s">
        <v>115</v>
      </c>
      <c r="C172" s="8">
        <v>1040</v>
      </c>
      <c r="D172" s="8">
        <v>2000</v>
      </c>
      <c r="E172" s="8" t="str">
        <f>IFERROR(VLOOKUP(A172,'[1]P O'!$A:$F,6,0),0)</f>
        <v>000000000034700</v>
      </c>
      <c r="F172" s="8">
        <v>2000</v>
      </c>
      <c r="G172" s="11">
        <v>2500</v>
      </c>
      <c r="H172" s="8">
        <v>2000</v>
      </c>
      <c r="I172" s="9">
        <v>1500</v>
      </c>
      <c r="J172" s="8" t="s">
        <v>388</v>
      </c>
      <c r="K172" s="8" t="s">
        <v>395</v>
      </c>
    </row>
    <row r="173" spans="1:11" x14ac:dyDescent="0.25">
      <c r="A173" s="5" t="s">
        <v>116</v>
      </c>
      <c r="B173" s="5" t="s">
        <v>117</v>
      </c>
      <c r="C173" s="8">
        <v>6</v>
      </c>
      <c r="D173" s="8">
        <v>5</v>
      </c>
      <c r="E173" s="8" t="str">
        <f>IFERROR(VLOOKUP(A173,'[1]P O'!$A:$F,6,0),0)</f>
        <v>000000000034944</v>
      </c>
      <c r="F173" s="8">
        <v>5</v>
      </c>
      <c r="G173" s="11">
        <v>14</v>
      </c>
      <c r="H173" s="8">
        <v>10</v>
      </c>
      <c r="I173" s="9">
        <v>8</v>
      </c>
      <c r="J173" s="8" t="s">
        <v>388</v>
      </c>
      <c r="K173" s="8" t="s">
        <v>395</v>
      </c>
    </row>
    <row r="174" spans="1:11" x14ac:dyDescent="0.25">
      <c r="A174" s="5" t="s">
        <v>146</v>
      </c>
      <c r="B174" s="5" t="s">
        <v>147</v>
      </c>
      <c r="C174" s="8">
        <v>2</v>
      </c>
      <c r="D174" s="8">
        <v>8</v>
      </c>
      <c r="E174" s="8" t="str">
        <f>IFERROR(VLOOKUP(A174,'[1]P O'!$A:$F,6,0),0)</f>
        <v>000000000034336</v>
      </c>
      <c r="F174" s="8">
        <v>13</v>
      </c>
      <c r="G174" s="11">
        <v>10</v>
      </c>
      <c r="H174" s="8">
        <v>7</v>
      </c>
      <c r="I174" s="9">
        <v>5</v>
      </c>
      <c r="J174" s="8" t="s">
        <v>388</v>
      </c>
      <c r="K174" s="8" t="s">
        <v>396</v>
      </c>
    </row>
    <row r="175" spans="1:11" x14ac:dyDescent="0.25">
      <c r="A175" s="5" t="s">
        <v>192</v>
      </c>
      <c r="B175" s="5" t="s">
        <v>193</v>
      </c>
      <c r="C175" s="8">
        <v>2</v>
      </c>
      <c r="D175" s="8">
        <v>3</v>
      </c>
      <c r="E175" s="8" t="str">
        <f>IFERROR(VLOOKUP(A175,'[1]P O'!$A:$F,6,0),0)</f>
        <v>000000000034987</v>
      </c>
      <c r="F175" s="8">
        <v>3</v>
      </c>
      <c r="G175" s="11">
        <v>8</v>
      </c>
      <c r="H175" s="8">
        <v>4</v>
      </c>
      <c r="I175" s="9">
        <v>4</v>
      </c>
      <c r="J175" s="8" t="s">
        <v>388</v>
      </c>
      <c r="K175" s="8" t="s">
        <v>392</v>
      </c>
    </row>
    <row r="176" spans="1:11" x14ac:dyDescent="0.25">
      <c r="A176" s="5" t="s">
        <v>200</v>
      </c>
      <c r="B176" s="5" t="s">
        <v>201</v>
      </c>
      <c r="C176" s="8">
        <v>7</v>
      </c>
      <c r="D176" s="8">
        <v>6</v>
      </c>
      <c r="E176" s="8" t="str">
        <f>IFERROR(VLOOKUP(A176,'[1]P O'!$A:$F,6,0),0)</f>
        <v>000000000034195</v>
      </c>
      <c r="F176" s="8">
        <v>6</v>
      </c>
      <c r="G176" s="11">
        <v>20</v>
      </c>
      <c r="H176" s="8">
        <v>10</v>
      </c>
      <c r="I176" s="9">
        <v>10</v>
      </c>
      <c r="J176" s="8" t="s">
        <v>388</v>
      </c>
      <c r="K176" s="8" t="s">
        <v>392</v>
      </c>
    </row>
    <row r="177" spans="1:11" x14ac:dyDescent="0.25">
      <c r="A177" s="5" t="s">
        <v>232</v>
      </c>
      <c r="B177" s="5" t="s">
        <v>233</v>
      </c>
      <c r="C177" s="8">
        <v>2</v>
      </c>
      <c r="D177" s="8">
        <v>2</v>
      </c>
      <c r="E177" s="8" t="str">
        <f>IFERROR(VLOOKUP(A177,'[1]P O'!$A:$F,6,0),0)</f>
        <v>000000000035015</v>
      </c>
      <c r="F177" s="8">
        <v>2</v>
      </c>
      <c r="G177" s="11">
        <v>4</v>
      </c>
      <c r="H177" s="8">
        <v>3</v>
      </c>
      <c r="I177" s="9">
        <v>3</v>
      </c>
      <c r="J177" s="8" t="s">
        <v>388</v>
      </c>
      <c r="K177" s="8" t="s">
        <v>392</v>
      </c>
    </row>
    <row r="178" spans="1:11" x14ac:dyDescent="0.25">
      <c r="A178" s="5" t="s">
        <v>246</v>
      </c>
      <c r="B178" s="5" t="s">
        <v>247</v>
      </c>
      <c r="C178" s="8">
        <v>85</v>
      </c>
      <c r="D178" s="8">
        <v>60</v>
      </c>
      <c r="E178" s="8" t="str">
        <f>IFERROR(VLOOKUP(A178,'[1]P O'!$A:$F,6,0),0)</f>
        <v>000000000031978</v>
      </c>
      <c r="F178" s="8">
        <v>180</v>
      </c>
      <c r="G178" s="11">
        <v>145</v>
      </c>
      <c r="H178" s="8">
        <v>137</v>
      </c>
      <c r="I178" s="9">
        <v>117</v>
      </c>
      <c r="J178" s="8" t="s">
        <v>388</v>
      </c>
      <c r="K178" s="8" t="s">
        <v>396</v>
      </c>
    </row>
    <row r="179" spans="1:11" x14ac:dyDescent="0.25">
      <c r="A179" s="5" t="s">
        <v>256</v>
      </c>
      <c r="B179" s="5" t="s">
        <v>257</v>
      </c>
      <c r="C179" s="8">
        <v>8</v>
      </c>
      <c r="D179" s="8">
        <v>1</v>
      </c>
      <c r="E179" s="8" t="str">
        <f>IFERROR(VLOOKUP(A179,'[1]P O'!$A:$F,6,0),0)</f>
        <v>000000000035059</v>
      </c>
      <c r="F179" s="8">
        <v>1</v>
      </c>
      <c r="G179" s="11">
        <v>20</v>
      </c>
      <c r="H179" s="8">
        <v>10</v>
      </c>
      <c r="I179" s="9">
        <v>10</v>
      </c>
      <c r="J179" s="8" t="s">
        <v>388</v>
      </c>
      <c r="K179" s="8" t="s">
        <v>392</v>
      </c>
    </row>
    <row r="180" spans="1:11" x14ac:dyDescent="0.25">
      <c r="A180" s="5" t="s">
        <v>276</v>
      </c>
      <c r="B180" s="5" t="s">
        <v>277</v>
      </c>
      <c r="C180" s="8">
        <v>2</v>
      </c>
      <c r="D180" s="8">
        <v>52</v>
      </c>
      <c r="E180" s="8" t="str">
        <f>IFERROR(VLOOKUP(A180,'[1]P O'!$A:$F,6,0),0)</f>
        <v>000000000029044</v>
      </c>
      <c r="F180" s="8">
        <v>52</v>
      </c>
      <c r="G180" s="11">
        <v>100</v>
      </c>
      <c r="H180" s="8">
        <v>75</v>
      </c>
      <c r="I180" s="9">
        <v>50</v>
      </c>
      <c r="J180" s="8" t="s">
        <v>388</v>
      </c>
      <c r="K180" s="8" t="s">
        <v>393</v>
      </c>
    </row>
    <row r="181" spans="1:11" x14ac:dyDescent="0.25">
      <c r="A181" s="5" t="s">
        <v>284</v>
      </c>
      <c r="B181" s="5" t="s">
        <v>285</v>
      </c>
      <c r="C181" s="8">
        <v>15</v>
      </c>
      <c r="D181" s="8">
        <v>25</v>
      </c>
      <c r="E181" s="8" t="str">
        <f>IFERROR(VLOOKUP(A181,'[1]P O'!$A:$F,6,0),0)</f>
        <v>000000000034901</v>
      </c>
      <c r="F181" s="8">
        <v>50</v>
      </c>
      <c r="G181" s="11">
        <v>40</v>
      </c>
      <c r="H181" s="8">
        <v>30</v>
      </c>
      <c r="I181" s="9">
        <v>20</v>
      </c>
      <c r="J181" s="8" t="s">
        <v>388</v>
      </c>
      <c r="K181" s="8" t="s">
        <v>393</v>
      </c>
    </row>
    <row r="182" spans="1:11" x14ac:dyDescent="0.25">
      <c r="A182" s="5" t="s">
        <v>314</v>
      </c>
      <c r="B182" s="5" t="s">
        <v>315</v>
      </c>
      <c r="C182" s="8">
        <v>3</v>
      </c>
      <c r="D182" s="8">
        <v>7</v>
      </c>
      <c r="E182" s="8" t="str">
        <f>IFERROR(VLOOKUP(A182,'[1]P O'!$A:$F,6,0),0)</f>
        <v>000000000035106</v>
      </c>
      <c r="F182" s="8">
        <v>7</v>
      </c>
      <c r="G182" s="11">
        <v>10</v>
      </c>
      <c r="H182" s="8">
        <v>6</v>
      </c>
      <c r="I182" s="9">
        <v>4</v>
      </c>
      <c r="J182" s="8" t="s">
        <v>388</v>
      </c>
      <c r="K182" s="8" t="s">
        <v>391</v>
      </c>
    </row>
    <row r="183" spans="1:11" x14ac:dyDescent="0.25">
      <c r="A183" s="5" t="s">
        <v>334</v>
      </c>
      <c r="B183" s="5" t="s">
        <v>335</v>
      </c>
      <c r="C183" s="8">
        <v>58</v>
      </c>
      <c r="D183" s="8">
        <v>60</v>
      </c>
      <c r="E183" s="8" t="str">
        <f>IFERROR(VLOOKUP(A183,'[1]P O'!$A:$F,6,0),0)</f>
        <v>000000000034175</v>
      </c>
      <c r="F183" s="8">
        <v>60</v>
      </c>
      <c r="G183" s="11">
        <v>160</v>
      </c>
      <c r="H183" s="8">
        <v>90</v>
      </c>
      <c r="I183" s="9">
        <v>70</v>
      </c>
      <c r="J183" s="8" t="s">
        <v>388</v>
      </c>
      <c r="K183" s="8" t="s">
        <v>395</v>
      </c>
    </row>
    <row r="184" spans="1:11" x14ac:dyDescent="0.25">
      <c r="A184" s="5" t="s">
        <v>340</v>
      </c>
      <c r="B184" s="5" t="s">
        <v>341</v>
      </c>
      <c r="C184" s="8">
        <v>5</v>
      </c>
      <c r="D184" s="8">
        <v>20</v>
      </c>
      <c r="E184" s="8" t="str">
        <f>IFERROR(VLOOKUP(A184,'[1]P O'!$A:$F,6,0),0)</f>
        <v>000000000035127</v>
      </c>
      <c r="F184" s="8">
        <v>20</v>
      </c>
      <c r="G184" s="11">
        <v>40</v>
      </c>
      <c r="H184" s="8">
        <v>20</v>
      </c>
      <c r="I184" s="9">
        <v>10</v>
      </c>
      <c r="J184" s="8" t="s">
        <v>388</v>
      </c>
      <c r="K184" s="8" t="s">
        <v>391</v>
      </c>
    </row>
    <row r="185" spans="1:11" x14ac:dyDescent="0.25">
      <c r="A185" s="5" t="s">
        <v>348</v>
      </c>
      <c r="B185" s="5" t="s">
        <v>349</v>
      </c>
      <c r="C185" s="8">
        <v>1</v>
      </c>
      <c r="D185" s="8">
        <v>3</v>
      </c>
      <c r="E185" s="8" t="str">
        <f>IFERROR(VLOOKUP(A185,'[1]P O'!$A:$F,6,0),0)</f>
        <v>000000000035047</v>
      </c>
      <c r="F185" s="8">
        <v>4</v>
      </c>
      <c r="G185" s="11">
        <v>4</v>
      </c>
      <c r="H185" s="8">
        <v>3</v>
      </c>
      <c r="I185" s="9">
        <v>2</v>
      </c>
      <c r="J185" s="8" t="s">
        <v>388</v>
      </c>
      <c r="K185" s="8" t="s">
        <v>393</v>
      </c>
    </row>
    <row r="186" spans="1:11" x14ac:dyDescent="0.25">
      <c r="A186" s="5" t="s">
        <v>360</v>
      </c>
      <c r="B186" s="5" t="s">
        <v>361</v>
      </c>
      <c r="C186" s="8">
        <v>1</v>
      </c>
      <c r="D186" s="8">
        <v>17</v>
      </c>
      <c r="E186" s="8" t="str">
        <f>IFERROR(VLOOKUP(A186,'[1]P O'!$A:$F,6,0),0)</f>
        <v>000000000035046</v>
      </c>
      <c r="F186" s="8">
        <v>17</v>
      </c>
      <c r="G186" s="11">
        <v>25</v>
      </c>
      <c r="H186" s="8">
        <v>20</v>
      </c>
      <c r="I186" s="9">
        <v>15</v>
      </c>
      <c r="J186" s="8" t="s">
        <v>388</v>
      </c>
      <c r="K186" s="8" t="s">
        <v>391</v>
      </c>
    </row>
    <row r="187" spans="1:11" x14ac:dyDescent="0.25">
      <c r="A187" s="5" t="s">
        <v>368</v>
      </c>
      <c r="B187" s="5" t="s">
        <v>349</v>
      </c>
      <c r="C187" s="8">
        <v>1</v>
      </c>
      <c r="D187" s="8">
        <v>1</v>
      </c>
      <c r="E187" s="8" t="str">
        <f>IFERROR(VLOOKUP(A187,'[1]P O'!$A:$F,6,0),0)</f>
        <v>000000000034847</v>
      </c>
      <c r="F187" s="8">
        <v>1</v>
      </c>
      <c r="G187" s="11">
        <v>4</v>
      </c>
      <c r="H187" s="8">
        <v>3</v>
      </c>
      <c r="I187" s="9">
        <v>2</v>
      </c>
      <c r="J187" s="8" t="s">
        <v>388</v>
      </c>
      <c r="K187" s="8" t="s">
        <v>393</v>
      </c>
    </row>
  </sheetData>
  <autoFilter ref="A1:K187" xr:uid="{236AE026-6845-44A4-8D37-838124B4EC0E}"/>
  <printOptions horizontalCentered="1"/>
  <pageMargins left="0" right="0" top="0" bottom="0" header="0" footer="0"/>
  <pageSetup paperSize="9" scale="8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Consumable</dc:creator>
  <cp:lastModifiedBy>Warehouse Consumable</cp:lastModifiedBy>
  <cp:lastPrinted>2025-11-04T06:59:08Z</cp:lastPrinted>
  <dcterms:created xsi:type="dcterms:W3CDTF">2025-11-04T05:48:34Z</dcterms:created>
  <dcterms:modified xsi:type="dcterms:W3CDTF">2025-11-04T17:45:12Z</dcterms:modified>
</cp:coreProperties>
</file>